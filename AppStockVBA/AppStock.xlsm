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6134\Documents\AppStockExcel\"/>
    </mc:Choice>
  </mc:AlternateContent>
  <xr:revisionPtr revIDLastSave="0" documentId="13_ncr:1_{408833A5-0715-4E02-BA5E-608AA6247430}" xr6:coauthVersionLast="47" xr6:coauthVersionMax="47" xr10:uidLastSave="{00000000-0000-0000-0000-000000000000}"/>
  <bookViews>
    <workbookView xWindow="-120" yWindow="-120" windowWidth="20730" windowHeight="11310" tabRatio="855" xr2:uid="{D623B921-EE6B-4655-B198-2E2267683618}"/>
  </bookViews>
  <sheets>
    <sheet name="Login" sheetId="12" r:id="rId1"/>
    <sheet name="Accueil" sheetId="8" state="veryHidden" r:id="rId2"/>
    <sheet name="Catégories" sheetId="3" state="veryHidden" r:id="rId3"/>
    <sheet name="Articles" sheetId="1" state="veryHidden" r:id="rId4"/>
    <sheet name="Ventes" sheetId="4" state="veryHidden" r:id="rId5"/>
    <sheet name="Ventes Jour." sheetId="7" state="veryHidden" r:id="rId6"/>
    <sheet name="Ventes Mens." sheetId="10" state="veryHidden" r:id="rId7"/>
    <sheet name="Commandes" sheetId="5" state="veryHidden" r:id="rId8"/>
    <sheet name="Bons de Com." sheetId="6" state="veryHidden" r:id="rId9"/>
    <sheet name="Bilan Annuel" sheetId="14" state="veryHidden" r:id="rId10"/>
    <sheet name="Paramètres" sheetId="2" state="veryHidden" r:id="rId11"/>
  </sheets>
  <functionGroups builtInGroupCount="19"/>
  <definedNames>
    <definedName name="_xlnm._FilterDatabase" localSheetId="10" hidden="1">Paramètres!$H$31:$H$37</definedName>
    <definedName name="articles">Tableau1[Désignation]</definedName>
    <definedName name="categories">Tableau3[Désignation]</definedName>
    <definedName name="_xlnm.Criteria" localSheetId="10">Paramètres!$H$31:$H$34</definedName>
    <definedName name="_xlnm.Extract" localSheetId="10">Paramètres!$L$31:$L$34</definedName>
    <definedName name="_xlnm.Print_Area" localSheetId="9">'Bilan Annuel'!$B$5:$H$27</definedName>
    <definedName name="_xlnm.Print_Area" localSheetId="8">'Bons de Com.'!$B$5:$H$22</definedName>
    <definedName name="_xlnm.Print_Area" localSheetId="5">'Ventes Jour.'!$B$5:$H$24</definedName>
    <definedName name="_xlnm.Print_Area" localSheetId="6">'Ventes Mens.'!$B$5:$H$24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0" l="1"/>
  <c r="H17" i="10" s="1" a="1"/>
  <c r="H17" i="10" s="1"/>
  <c r="B20" i="14"/>
  <c r="H20" i="14" s="1" a="1"/>
  <c r="H20" i="14" s="1"/>
  <c r="B19" i="14"/>
  <c r="H19" i="14" s="1" a="1"/>
  <c r="H19" i="14" s="1"/>
  <c r="B18" i="14"/>
  <c r="H18" i="14" s="1" a="1"/>
  <c r="H18" i="14" s="1"/>
  <c r="B17" i="14"/>
  <c r="H17" i="14" s="1" a="1"/>
  <c r="H17" i="14" s="1"/>
  <c r="B17" i="7"/>
  <c r="H17" i="7" s="1" a="1"/>
  <c r="H17" i="7" s="1"/>
  <c r="H21" i="7" s="1"/>
  <c r="H30" i="14"/>
  <c r="H33" i="14"/>
  <c r="H35" i="14" s="1"/>
  <c r="H23" i="14"/>
  <c r="H26" i="14" s="1"/>
  <c r="H27" i="10"/>
  <c r="H30" i="10"/>
  <c r="H32" i="10" s="1"/>
  <c r="H20" i="10"/>
  <c r="H23" i="10" s="1"/>
  <c r="H29" i="7"/>
  <c r="H26" i="7"/>
  <c r="H20" i="7"/>
  <c r="H23" i="7" s="1"/>
  <c r="B19" i="6"/>
  <c r="B18" i="6"/>
  <c r="B18" i="5"/>
  <c r="B17" i="5"/>
  <c r="B13" i="4"/>
  <c r="B16" i="5"/>
  <c r="B15" i="5"/>
  <c r="B7" i="5"/>
  <c r="B8" i="5"/>
  <c r="B9" i="5"/>
  <c r="B10" i="5"/>
  <c r="B11" i="5"/>
  <c r="B12" i="5"/>
  <c r="B13" i="5"/>
  <c r="B14" i="5"/>
  <c r="B6" i="5"/>
  <c r="B12" i="4"/>
  <c r="B7" i="4"/>
  <c r="B8" i="4"/>
  <c r="B9" i="4"/>
  <c r="B10" i="4"/>
  <c r="B11" i="4"/>
  <c r="B6" i="4"/>
  <c r="B12" i="1"/>
  <c r="J12" i="1"/>
  <c r="L12" i="1"/>
  <c r="N12" i="1"/>
  <c r="B11" i="1"/>
  <c r="J11" i="1"/>
  <c r="L11" i="1"/>
  <c r="N11" i="1"/>
  <c r="J7" i="1"/>
  <c r="J8" i="1"/>
  <c r="J9" i="1"/>
  <c r="J10" i="1"/>
  <c r="J6" i="1"/>
  <c r="B7" i="1"/>
  <c r="B8" i="1"/>
  <c r="B9" i="1"/>
  <c r="B10" i="1"/>
  <c r="B6" i="1"/>
  <c r="B12" i="3"/>
  <c r="B7" i="3"/>
  <c r="B8" i="3"/>
  <c r="B9" i="3"/>
  <c r="B10" i="3"/>
  <c r="B11" i="3"/>
  <c r="B6" i="3"/>
  <c r="D14" i="14"/>
  <c r="D13" i="14"/>
  <c r="D12" i="14"/>
  <c r="D11" i="14"/>
  <c r="D10" i="14"/>
  <c r="D9" i="14"/>
  <c r="H22" i="6"/>
  <c r="D15" i="6"/>
  <c r="D14" i="6"/>
  <c r="D13" i="6"/>
  <c r="D12" i="6"/>
  <c r="D11" i="6"/>
  <c r="D10" i="6"/>
  <c r="D14" i="7"/>
  <c r="D13" i="7"/>
  <c r="D12" i="7"/>
  <c r="D11" i="7"/>
  <c r="D10" i="7"/>
  <c r="D9" i="7"/>
  <c r="D14" i="10"/>
  <c r="D13" i="10"/>
  <c r="D12" i="10"/>
  <c r="D11" i="10"/>
  <c r="D10" i="10"/>
  <c r="D9" i="10"/>
  <c r="E46" i="2"/>
  <c r="E43" i="2"/>
  <c r="E42" i="2"/>
  <c r="L6" i="1"/>
  <c r="L7" i="1"/>
  <c r="L8" i="1"/>
  <c r="L9" i="1"/>
  <c r="L10" i="1"/>
  <c r="N6" i="1"/>
  <c r="N7" i="1"/>
  <c r="N8" i="1"/>
  <c r="N9" i="1"/>
  <c r="N10" i="1"/>
  <c r="E23" i="2"/>
  <c r="E22" i="2"/>
  <c r="E21" i="2"/>
  <c r="E20" i="2"/>
  <c r="H21" i="10" l="1"/>
  <c r="H29" i="10" s="1"/>
  <c r="H28" i="7"/>
  <c r="M12" i="1"/>
  <c r="M11" i="1"/>
  <c r="E44" i="2"/>
  <c r="E45" i="2"/>
  <c r="H24" i="14"/>
  <c r="H32" i="14" s="1"/>
  <c r="M10" i="1"/>
  <c r="M9" i="1"/>
  <c r="M6" i="1"/>
  <c r="M8" i="1"/>
  <c r="M7" i="1"/>
  <c r="E48" i="2" l="1"/>
  <c r="E49" i="2"/>
  <c r="E47" i="2"/>
</calcChain>
</file>

<file path=xl/sharedStrings.xml><?xml version="1.0" encoding="utf-8"?>
<sst xmlns="http://schemas.openxmlformats.org/spreadsheetml/2006/main" count="349" uniqueCount="183">
  <si>
    <t>Catégorie</t>
  </si>
  <si>
    <t>Désignation</t>
  </si>
  <si>
    <t>Qté en stock</t>
  </si>
  <si>
    <t>PU d'achat</t>
  </si>
  <si>
    <t>PU de vente</t>
  </si>
  <si>
    <t>Marge</t>
  </si>
  <si>
    <t>Qté min</t>
  </si>
  <si>
    <t>Unite</t>
  </si>
  <si>
    <t>0+</t>
  </si>
  <si>
    <t>5+</t>
  </si>
  <si>
    <t>10+</t>
  </si>
  <si>
    <t>15+</t>
  </si>
  <si>
    <t>20+</t>
  </si>
  <si>
    <t>25+</t>
  </si>
  <si>
    <t>30+</t>
  </si>
  <si>
    <t>Vide</t>
  </si>
  <si>
    <t>Suffixe</t>
  </si>
  <si>
    <t>Article</t>
  </si>
  <si>
    <t>ART-</t>
  </si>
  <si>
    <t>ART-0001</t>
  </si>
  <si>
    <t>ART-0004</t>
  </si>
  <si>
    <t>N° article</t>
  </si>
  <si>
    <t>N° ligne</t>
  </si>
  <si>
    <t>CAT-01</t>
  </si>
  <si>
    <t>CAT-</t>
  </si>
  <si>
    <t>CAT-02</t>
  </si>
  <si>
    <t>CAT-03</t>
  </si>
  <si>
    <t>Date</t>
  </si>
  <si>
    <t>N° catégorie</t>
  </si>
  <si>
    <t>Total</t>
  </si>
  <si>
    <t>Boisson Gazeux</t>
  </si>
  <si>
    <t>Alcool en vrac</t>
  </si>
  <si>
    <t>Fresh</t>
  </si>
  <si>
    <t>Sardine</t>
  </si>
  <si>
    <t>Bouteille</t>
  </si>
  <si>
    <t>Boite</t>
  </si>
  <si>
    <t>N° vente</t>
  </si>
  <si>
    <t>Vente</t>
  </si>
  <si>
    <t>VEN-</t>
  </si>
  <si>
    <t>ART-0005</t>
  </si>
  <si>
    <t>Bolo</t>
  </si>
  <si>
    <t>Pack</t>
  </si>
  <si>
    <t>ART-0006</t>
  </si>
  <si>
    <t>Rhum</t>
  </si>
  <si>
    <t>Litre</t>
  </si>
  <si>
    <t>ART-0007</t>
  </si>
  <si>
    <t>Youzou 35cl</t>
  </si>
  <si>
    <t>VEN-0000002</t>
  </si>
  <si>
    <t>VEN-0000003</t>
  </si>
  <si>
    <t>VEN-0000004</t>
  </si>
  <si>
    <t>CAT-04</t>
  </si>
  <si>
    <t>Biscuit</t>
  </si>
  <si>
    <t>N° commande</t>
  </si>
  <si>
    <t>Qté achetée</t>
  </si>
  <si>
    <t>Commande</t>
  </si>
  <si>
    <t>COM-</t>
  </si>
  <si>
    <t>Divers</t>
  </si>
  <si>
    <t>CAT-05</t>
  </si>
  <si>
    <t>Star alcoolise</t>
  </si>
  <si>
    <t>Star sans alcool</t>
  </si>
  <si>
    <t>Bon de commande</t>
  </si>
  <si>
    <t>Date :</t>
  </si>
  <si>
    <t>N° commande :</t>
  </si>
  <si>
    <t>COM-0000001</t>
  </si>
  <si>
    <t>N°</t>
  </si>
  <si>
    <t>Bar</t>
  </si>
  <si>
    <t>Adresse</t>
  </si>
  <si>
    <t>Ville</t>
  </si>
  <si>
    <t>Tel</t>
  </si>
  <si>
    <t>Facebook</t>
  </si>
  <si>
    <t>Email</t>
  </si>
  <si>
    <t>Fianarantsoa</t>
  </si>
  <si>
    <t>Lot IB 10/0101 Ambatomena</t>
  </si>
  <si>
    <t>pseudo@gmail.com</t>
  </si>
  <si>
    <t>Pseudo FB</t>
  </si>
  <si>
    <t>Localisation</t>
  </si>
  <si>
    <t>COM-0000002</t>
  </si>
  <si>
    <t>Qté</t>
  </si>
  <si>
    <t>Ven-0000005</t>
  </si>
  <si>
    <t>Bénéfice</t>
  </si>
  <si>
    <t>Prix</t>
  </si>
  <si>
    <t>Tot. Prix</t>
  </si>
  <si>
    <t>Pertes</t>
  </si>
  <si>
    <t>Bénéf. Final</t>
  </si>
  <si>
    <t>Ventes Journalières</t>
  </si>
  <si>
    <t>Autres</t>
  </si>
  <si>
    <t>Statut</t>
  </si>
  <si>
    <t>VEN-0000005</t>
  </si>
  <si>
    <t>CAT-06</t>
  </si>
  <si>
    <t>Rang</t>
  </si>
  <si>
    <t>Qté vendu</t>
  </si>
  <si>
    <t>Tableau de bord</t>
  </si>
  <si>
    <t>Widget 1</t>
  </si>
  <si>
    <t>Widget 2</t>
  </si>
  <si>
    <t>Widget 3</t>
  </si>
  <si>
    <t>Widget 4</t>
  </si>
  <si>
    <t>Widget 5</t>
  </si>
  <si>
    <t>Widget 6</t>
  </si>
  <si>
    <t>Valeur du stock</t>
  </si>
  <si>
    <t>Articles critiques</t>
  </si>
  <si>
    <t>Articles en commande</t>
  </si>
  <si>
    <t>Nombre d'articles en stock</t>
  </si>
  <si>
    <t>Volume du stock</t>
  </si>
  <si>
    <t>Top 3 articles vendus</t>
  </si>
  <si>
    <t>Menu items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</si>
  <si>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</si>
  <si>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</si>
  <si>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</si>
  <si>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</si>
  <si>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</si>
  <si>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</si>
  <si>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</si>
  <si>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</si>
  <si>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Accueil</t>
  </si>
  <si>
    <t>Vente Jour.</t>
  </si>
  <si>
    <t>Paramètre</t>
  </si>
  <si>
    <t>Ventes Mensuelles</t>
  </si>
  <si>
    <t>Utilisateur</t>
  </si>
  <si>
    <t>Login</t>
  </si>
  <si>
    <t>Mot de passe</t>
  </si>
  <si>
    <t>Role</t>
  </si>
  <si>
    <t>admin</t>
  </si>
  <si>
    <t>6rley#</t>
  </si>
  <si>
    <t>Root</t>
  </si>
  <si>
    <t>mialy</t>
  </si>
  <si>
    <t>mi41y</t>
  </si>
  <si>
    <t>User</t>
  </si>
  <si>
    <t>Item9</t>
  </si>
  <si>
    <t>Item10</t>
  </si>
  <si>
    <t>Vente Mens.</t>
  </si>
  <si>
    <t>Bilan Annuel</t>
  </si>
  <si>
    <t>Utilisateur courant</t>
  </si>
  <si>
    <t>Bon de Com.</t>
  </si>
  <si>
    <t>Couleur</t>
  </si>
  <si>
    <t>Bar de menu</t>
  </si>
  <si>
    <t>Items</t>
  </si>
  <si>
    <t>fleu</t>
  </si>
  <si>
    <t>71eu</t>
  </si>
  <si>
    <t>Répertoire PDF</t>
  </si>
  <si>
    <t>Ventes Jour.</t>
  </si>
  <si>
    <t>Ventes Mens.</t>
  </si>
  <si>
    <t>Bons de Com.</t>
  </si>
  <si>
    <t>Principal</t>
  </si>
  <si>
    <t>C:\Users\26134\Documents\AppStockExcel</t>
  </si>
  <si>
    <t>Ventes_Journalieres_PDF</t>
  </si>
  <si>
    <t>Ventes_Mensuelles_PDF</t>
  </si>
  <si>
    <t>Bons_de_Commandes_PDF</t>
  </si>
  <si>
    <t>Bilans_Annuels_PDF</t>
  </si>
  <si>
    <t>Année :</t>
  </si>
  <si>
    <t>Mois :</t>
  </si>
  <si>
    <t>Valeur Stock</t>
  </si>
  <si>
    <t>Bénéf. Brut</t>
  </si>
  <si>
    <t>T. Prix</t>
  </si>
  <si>
    <t>VEN-0000006</t>
  </si>
  <si>
    <t>Qté Stock</t>
  </si>
  <si>
    <t>PU Achat</t>
  </si>
  <si>
    <t>PU Vente</t>
  </si>
  <si>
    <t>Qté Achetée</t>
  </si>
  <si>
    <t>VEN-0000003-5</t>
  </si>
  <si>
    <t>CAT-07</t>
  </si>
  <si>
    <t>Fait maison</t>
  </si>
  <si>
    <t>Pâtes</t>
  </si>
  <si>
    <t>FyTahiana</t>
  </si>
  <si>
    <t>Sachets</t>
  </si>
  <si>
    <t>Yaourt</t>
  </si>
  <si>
    <t>Pot</t>
  </si>
  <si>
    <t>VEN-0000009</t>
  </si>
  <si>
    <t>Ouvert</t>
  </si>
  <si>
    <t>COM-0000003</t>
  </si>
  <si>
    <t>Fermé</t>
  </si>
  <si>
    <t>VEN-0000010</t>
  </si>
  <si>
    <t>VEN-0000009-10</t>
  </si>
  <si>
    <t>COM-0000004</t>
  </si>
  <si>
    <t>T. Entrée</t>
  </si>
  <si>
    <t>Entrées</t>
  </si>
  <si>
    <t>Charges</t>
  </si>
  <si>
    <t>Sorties</t>
  </si>
  <si>
    <t>T. Entrées</t>
  </si>
  <si>
    <t>T. Sorties</t>
  </si>
  <si>
    <t>Capital</t>
  </si>
  <si>
    <t>Fond Commerce</t>
  </si>
  <si>
    <t>Etat Fi.</t>
  </si>
  <si>
    <t>Ven-0000005-9-10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</si>
</sst>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\ _€_-;\-* #,##0\ _€_-;_-* &quot;-&quot;\ _€_-;_-@_-"/>
    <numFmt numFmtId="165" formatCode="#,###&quot; Ar&quot;"/>
    <numFmt numFmtId="166" formatCode="0\3#&quot; &quot;##&quot; &quot;###&quot; &quot;##"/>
    <numFmt numFmtId="167" formatCode="d&quot; &quot;mmm&quot; &quot;yyyy"/>
    <numFmt numFmtId="168" formatCode="mmm&quot; &quot;yyyy"/>
    <numFmt numFmtId="169" formatCode="yyyy"/>
    <numFmt numFmtId="170" formatCode="dd\-mm\-yyyy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8"/>
      <color theme="1"/>
      <name val="Times New Roman"/>
      <family val="1"/>
    </font>
    <font>
      <sz val="12"/>
      <name val="Times New Roman"/>
      <family val="1"/>
    </font>
    <font>
      <sz val="13"/>
      <color theme="1"/>
      <name val="Times New Roman"/>
      <family val="1"/>
    </font>
    <font>
      <b/>
      <sz val="18"/>
      <color rgb="FFFF0000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u/>
      <sz val="14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0"/>
      <name val="Times New Roman"/>
      <family val="1"/>
    </font>
    <font>
      <b/>
      <sz val="20"/>
      <color rgb="FFC00000"/>
      <name val="Times New Roman"/>
      <family val="1"/>
    </font>
    <font>
      <sz val="13"/>
      <name val="Times New Roman"/>
      <family val="1"/>
    </font>
    <font>
      <sz val="13"/>
      <color theme="0"/>
      <name val="Times New Roman"/>
      <family val="1"/>
    </font>
    <font>
      <b/>
      <sz val="13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89406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671B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dashDot">
        <color theme="1"/>
      </top>
      <bottom/>
      <diagonal/>
    </border>
    <border>
      <left/>
      <right/>
      <top/>
      <bottom style="dashDot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rgb="FFC00000"/>
      </left>
      <right/>
      <top/>
      <bottom/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/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1" xfId="0" applyBorder="1"/>
    <xf numFmtId="0" fontId="1" fillId="4" borderId="3" xfId="0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7" xfId="0" applyBorder="1"/>
    <xf numFmtId="0" fontId="0" fillId="0" borderId="10" xfId="0" applyBorder="1"/>
    <xf numFmtId="0" fontId="0" fillId="0" borderId="15" xfId="0" applyBorder="1"/>
    <xf numFmtId="167" fontId="6" fillId="0" borderId="0" xfId="0" applyNumberFormat="1" applyFont="1" applyAlignment="1">
      <alignment horizontal="center" vertical="center"/>
    </xf>
    <xf numFmtId="0" fontId="0" fillId="0" borderId="20" xfId="0" applyBorder="1"/>
    <xf numFmtId="0" fontId="0" fillId="0" borderId="21" xfId="0" applyBorder="1"/>
    <xf numFmtId="0" fontId="10" fillId="3" borderId="2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0" borderId="5" xfId="0" applyBorder="1"/>
    <xf numFmtId="0" fontId="0" fillId="0" borderId="30" xfId="0" applyBorder="1"/>
    <xf numFmtId="0" fontId="0" fillId="6" borderId="0" xfId="0" applyFill="1"/>
    <xf numFmtId="0" fontId="0" fillId="7" borderId="0" xfId="0" applyFill="1"/>
    <xf numFmtId="0" fontId="1" fillId="4" borderId="34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10" fillId="3" borderId="23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0" fillId="3" borderId="38" xfId="0" applyFont="1" applyFill="1" applyBorder="1" applyAlignment="1">
      <alignment horizontal="left" vertical="center"/>
    </xf>
    <xf numFmtId="0" fontId="10" fillId="3" borderId="37" xfId="0" applyFont="1" applyFill="1" applyBorder="1" applyAlignment="1">
      <alignment horizontal="left" vertical="center"/>
    </xf>
    <xf numFmtId="0" fontId="0" fillId="0" borderId="39" xfId="0" applyBorder="1"/>
    <xf numFmtId="0" fontId="0" fillId="0" borderId="40" xfId="0" applyBorder="1"/>
    <xf numFmtId="0" fontId="10" fillId="3" borderId="49" xfId="0" applyFont="1" applyFill="1" applyBorder="1" applyAlignment="1">
      <alignment horizontal="left" vertical="center"/>
    </xf>
    <xf numFmtId="0" fontId="10" fillId="3" borderId="50" xfId="0" applyFont="1" applyFill="1" applyBorder="1" applyAlignment="1">
      <alignment horizontal="left" vertical="center"/>
    </xf>
    <xf numFmtId="0" fontId="10" fillId="3" borderId="52" xfId="0" applyFont="1" applyFill="1" applyBorder="1" applyAlignment="1">
      <alignment horizontal="center" vertical="center"/>
    </xf>
    <xf numFmtId="0" fontId="1" fillId="4" borderId="5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0" fontId="10" fillId="3" borderId="54" xfId="0" applyFont="1" applyFill="1" applyBorder="1" applyAlignment="1">
      <alignment horizontal="center" vertical="center"/>
    </xf>
    <xf numFmtId="0" fontId="10" fillId="3" borderId="53" xfId="0" applyFont="1" applyFill="1" applyBorder="1" applyAlignment="1">
      <alignment horizontal="center" vertical="center"/>
    </xf>
    <xf numFmtId="0" fontId="10" fillId="3" borderId="38" xfId="0" applyFont="1" applyFill="1" applyBorder="1" applyAlignment="1">
      <alignment horizontal="center" vertical="center"/>
    </xf>
    <xf numFmtId="0" fontId="1" fillId="3" borderId="55" xfId="0" applyFont="1" applyFill="1" applyBorder="1" applyAlignment="1">
      <alignment horizontal="center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0" fillId="3" borderId="57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0" fontId="1" fillId="4" borderId="58" xfId="0" applyFont="1" applyFill="1" applyBorder="1" applyAlignment="1">
      <alignment horizontal="center" vertical="center"/>
    </xf>
    <xf numFmtId="0" fontId="10" fillId="3" borderId="59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41" xfId="0" applyFont="1" applyFill="1" applyBorder="1" applyAlignment="1">
      <alignment horizontal="center" vertical="center"/>
    </xf>
    <xf numFmtId="0" fontId="10" fillId="3" borderId="63" xfId="0" applyFont="1" applyFill="1" applyBorder="1" applyAlignment="1">
      <alignment horizontal="center" vertical="center"/>
    </xf>
    <xf numFmtId="165" fontId="1" fillId="3" borderId="55" xfId="0" applyNumberFormat="1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" fillId="4" borderId="67" xfId="0" applyFont="1" applyFill="1" applyBorder="1" applyAlignment="1">
      <alignment horizontal="center" vertical="center"/>
    </xf>
    <xf numFmtId="0" fontId="1" fillId="4" borderId="59" xfId="0" applyFont="1" applyFill="1" applyBorder="1" applyAlignment="1">
      <alignment horizontal="center" vertical="center"/>
    </xf>
    <xf numFmtId="0" fontId="1" fillId="4" borderId="68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70" xfId="0" applyFont="1" applyBorder="1" applyAlignment="1">
      <alignment horizontal="center" vertical="center"/>
    </xf>
    <xf numFmtId="0" fontId="7" fillId="0" borderId="70" xfId="0" applyFont="1" applyBorder="1" applyAlignment="1">
      <alignment horizontal="center" vertical="center" wrapText="1"/>
    </xf>
    <xf numFmtId="0" fontId="0" fillId="0" borderId="71" xfId="0" applyBorder="1"/>
    <xf numFmtId="0" fontId="7" fillId="3" borderId="69" xfId="0" applyFont="1" applyFill="1" applyBorder="1" applyAlignment="1">
      <alignment horizontal="left" vertical="center"/>
    </xf>
    <xf numFmtId="165" fontId="6" fillId="0" borderId="19" xfId="0" applyNumberFormat="1" applyFon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169" fontId="6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70" fontId="1" fillId="0" borderId="0" xfId="0" applyNumberFormat="1" applyFont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0" fillId="0" borderId="0" xfId="0" applyAlignment="1">
      <alignment vertical="center"/>
    </xf>
    <xf numFmtId="0" fontId="4" fillId="0" borderId="19" xfId="0" applyFont="1" applyBorder="1" applyAlignment="1">
      <alignment horizontal="left" vertical="center" indent="1"/>
    </xf>
    <xf numFmtId="0" fontId="0" fillId="0" borderId="61" xfId="0" applyBorder="1"/>
    <xf numFmtId="0" fontId="1" fillId="0" borderId="19" xfId="0" applyFont="1" applyBorder="1" applyAlignment="1">
      <alignment horizontal="left" vertical="center" indent="1"/>
    </xf>
    <xf numFmtId="0" fontId="10" fillId="0" borderId="19" xfId="0" applyFont="1" applyBorder="1" applyAlignment="1">
      <alignment horizontal="center" vertical="center"/>
    </xf>
    <xf numFmtId="165" fontId="1" fillId="3" borderId="73" xfId="0" applyNumberFormat="1" applyFont="1" applyFill="1" applyBorder="1" applyAlignment="1">
      <alignment horizontal="center" vertical="center"/>
    </xf>
    <xf numFmtId="165" fontId="1" fillId="3" borderId="19" xfId="0" applyNumberFormat="1" applyFont="1" applyFill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" fillId="0" borderId="17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left" vertical="center"/>
    </xf>
    <xf numFmtId="0" fontId="10" fillId="0" borderId="34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166" fontId="1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4" borderId="48" xfId="0" applyFont="1" applyFill="1" applyBorder="1" applyAlignment="1">
      <alignment horizontal="left" vertical="center"/>
    </xf>
    <xf numFmtId="0" fontId="1" fillId="4" borderId="47" xfId="0" applyFont="1" applyFill="1" applyBorder="1" applyAlignment="1">
      <alignment horizontal="left" vertical="center"/>
    </xf>
    <xf numFmtId="0" fontId="1" fillId="4" borderId="35" xfId="0" applyFont="1" applyFill="1" applyBorder="1" applyAlignment="1">
      <alignment horizontal="left" vertical="center"/>
    </xf>
    <xf numFmtId="0" fontId="1" fillId="4" borderId="36" xfId="0" applyFont="1" applyFill="1" applyBorder="1" applyAlignment="1">
      <alignment horizontal="left" vertical="center"/>
    </xf>
    <xf numFmtId="0" fontId="1" fillId="4" borderId="42" xfId="0" applyFont="1" applyFill="1" applyBorder="1" applyAlignment="1">
      <alignment horizontal="left" vertical="center"/>
    </xf>
    <xf numFmtId="0" fontId="1" fillId="4" borderId="44" xfId="0" applyFont="1" applyFill="1" applyBorder="1" applyAlignment="1">
      <alignment horizontal="left" vertical="center"/>
    </xf>
    <xf numFmtId="0" fontId="1" fillId="4" borderId="45" xfId="0" applyFont="1" applyFill="1" applyBorder="1" applyAlignment="1">
      <alignment horizontal="left" vertical="center"/>
    </xf>
    <xf numFmtId="0" fontId="1" fillId="4" borderId="46" xfId="0" applyFont="1" applyFill="1" applyBorder="1" applyAlignment="1">
      <alignment horizontal="left" vertical="center"/>
    </xf>
    <xf numFmtId="0" fontId="10" fillId="3" borderId="50" xfId="0" applyFont="1" applyFill="1" applyBorder="1" applyAlignment="1">
      <alignment horizontal="center" vertical="center"/>
    </xf>
    <xf numFmtId="0" fontId="10" fillId="3" borderId="57" xfId="0" applyFont="1" applyFill="1" applyBorder="1" applyAlignment="1">
      <alignment horizontal="center" vertical="center"/>
    </xf>
    <xf numFmtId="0" fontId="10" fillId="3" borderId="59" xfId="0" applyFont="1" applyFill="1" applyBorder="1" applyAlignment="1">
      <alignment horizontal="center" vertical="center"/>
    </xf>
    <xf numFmtId="0" fontId="1" fillId="4" borderId="64" xfId="0" applyFont="1" applyFill="1" applyBorder="1" applyAlignment="1">
      <alignment horizontal="left" vertical="center"/>
    </xf>
    <xf numFmtId="0" fontId="1" fillId="4" borderId="65" xfId="0" applyFont="1" applyFill="1" applyBorder="1" applyAlignment="1">
      <alignment horizontal="left" vertical="center"/>
    </xf>
    <xf numFmtId="0" fontId="1" fillId="4" borderId="9" xfId="0" applyFont="1" applyFill="1" applyBorder="1" applyAlignment="1">
      <alignment horizontal="left" vertical="center"/>
    </xf>
    <xf numFmtId="0" fontId="1" fillId="4" borderId="24" xfId="0" applyFont="1" applyFill="1" applyBorder="1" applyAlignment="1">
      <alignment horizontal="left" vertical="center"/>
    </xf>
    <xf numFmtId="0" fontId="1" fillId="4" borderId="60" xfId="0" applyFont="1" applyFill="1" applyBorder="1" applyAlignment="1">
      <alignment horizontal="left" vertical="center"/>
    </xf>
    <xf numFmtId="0" fontId="1" fillId="4" borderId="61" xfId="0" applyFont="1" applyFill="1" applyBorder="1" applyAlignment="1">
      <alignment horizontal="left" vertical="center"/>
    </xf>
    <xf numFmtId="0" fontId="1" fillId="4" borderId="66" xfId="0" applyFont="1" applyFill="1" applyBorder="1" applyAlignment="1">
      <alignment horizontal="left" vertical="center"/>
    </xf>
    <xf numFmtId="0" fontId="1" fillId="4" borderId="37" xfId="0" applyFont="1" applyFill="1" applyBorder="1" applyAlignment="1">
      <alignment horizontal="left" vertical="center"/>
    </xf>
    <xf numFmtId="0" fontId="1" fillId="4" borderId="62" xfId="0" applyFont="1" applyFill="1" applyBorder="1" applyAlignment="1">
      <alignment horizontal="left" vertical="center"/>
    </xf>
    <xf numFmtId="0" fontId="1" fillId="4" borderId="22" xfId="0" applyFont="1" applyFill="1" applyBorder="1" applyAlignment="1">
      <alignment horizontal="left" vertical="center"/>
    </xf>
    <xf numFmtId="0" fontId="1" fillId="4" borderId="25" xfId="0" applyFont="1" applyFill="1" applyBorder="1" applyAlignment="1">
      <alignment horizontal="left" vertical="center"/>
    </xf>
    <xf numFmtId="0" fontId="1" fillId="4" borderId="26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" fillId="4" borderId="14" xfId="0" applyFont="1" applyFill="1" applyBorder="1" applyAlignment="1">
      <alignment horizontal="left" vertical="center"/>
    </xf>
    <xf numFmtId="0" fontId="1" fillId="4" borderId="16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left" vertical="center"/>
    </xf>
    <xf numFmtId="0" fontId="1" fillId="4" borderId="13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166" fontId="1" fillId="4" borderId="9" xfId="0" applyNumberFormat="1" applyFont="1" applyFill="1" applyBorder="1" applyAlignment="1">
      <alignment horizontal="left" vertical="center"/>
    </xf>
    <xf numFmtId="166" fontId="1" fillId="4" borderId="0" xfId="0" applyNumberFormat="1" applyFont="1" applyFill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</cellXfs>
  <cellStyles count="1">
    <cellStyle name="Normal" xfId="0" builtinId="0"/>
  </cellStyles>
  <dxfs count="114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70" formatCode="dd\-mm\-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Times New Roman"/>
        <family val="1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70" formatCode="dd\-mm\-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#&quot; Ar&quot;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3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4343"/>
      <color rgb="FFF5671B"/>
      <color rgb="FFEE8012"/>
      <color rgb="FFF89406"/>
      <color rgb="FFFFC91D"/>
      <color rgb="FF87CB3D"/>
      <color rgb="FFFF3737"/>
      <color rgb="FFF78D54"/>
      <color rgb="FFFA429E"/>
      <color rgb="FF9E3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richmccue.com/sketch-fab/" TargetMode="External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https://freepngimg.com/png/19632-winner-ribbon-free-download-png" TargetMode="External"/><Relationship Id="rId2" Type="http://schemas.openxmlformats.org/officeDocument/2006/relationships/hyperlink" Target="https://pixabay.com/en/clipboard-green-check-list-311168/" TargetMode="External"/><Relationship Id="rId16" Type="http://schemas.openxmlformats.org/officeDocument/2006/relationships/hyperlink" Target="https://pixabay.com/en/user-person-generic-single-general-23874/" TargetMode="External"/><Relationship Id="rId1" Type="http://schemas.openxmlformats.org/officeDocument/2006/relationships/image" Target="../media/image4.png"/><Relationship Id="rId6" Type="http://schemas.openxmlformats.org/officeDocument/2006/relationships/hyperlink" Target="https://www.freepngimg.com/png/62209-coins-gold-painted-of-drop-hand-euclidean" TargetMode="External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10" Type="http://schemas.openxmlformats.org/officeDocument/2006/relationships/hyperlink" Target="https://freepngimg.com/png/25646-stock-market-clipart" TargetMode="External"/><Relationship Id="rId4" Type="http://schemas.openxmlformats.org/officeDocument/2006/relationships/hyperlink" Target="https://pixabay.com/th/%E0%B9%80%E0%B8%95%E0%B8%B7%E0%B8%AD%E0%B8%99-%E0%B8%84%E0%B8%A7%E0%B8%B2%E0%B8%A1%E0%B8%A3%E0%B8%B0%E0%B8%A1%E0%B8%B1%E0%B8%94%E0%B8%A3%E0%B8%B0%E0%B8%A7%E0%B8%B1%E0%B8%87-%E0%B8%81%E0%B8%B2%E0%B8%A3%E0%B9%81%E0%B8%88%E0%B9%89%E0%B8%87%E0%B9%80%E0%B8%95%E0%B8%B7%E0%B8%AD%E0%B8%99-145066/" TargetMode="External"/><Relationship Id="rId9" Type="http://schemas.openxmlformats.org/officeDocument/2006/relationships/image" Target="../media/image8.png"/><Relationship Id="rId14" Type="http://schemas.openxmlformats.org/officeDocument/2006/relationships/hyperlink" Target="https://pixabay.com/en/icon-icons-matt-shutdown-symbol-1294532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https://pixabay.com/en/icon-icons-matt-shutdown-symbol-1294532/" TargetMode="External"/><Relationship Id="rId1" Type="http://schemas.openxmlformats.org/officeDocument/2006/relationships/image" Target="../media/image10.png"/><Relationship Id="rId4" Type="http://schemas.openxmlformats.org/officeDocument/2006/relationships/hyperlink" Target="https://pixabay.com/en/user-person-generic-single-general-23874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https://pixabay.com/en/icon-icons-matt-shutdown-symbol-1294532/" TargetMode="External"/><Relationship Id="rId1" Type="http://schemas.openxmlformats.org/officeDocument/2006/relationships/image" Target="../media/image10.png"/><Relationship Id="rId4" Type="http://schemas.openxmlformats.org/officeDocument/2006/relationships/hyperlink" Target="https://pixabay.com/en/user-person-generic-single-general-23874/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https://pixabay.com/en/icon-icons-matt-shutdown-symbol-1294532/" TargetMode="External"/><Relationship Id="rId1" Type="http://schemas.openxmlformats.org/officeDocument/2006/relationships/image" Target="../media/image10.png"/><Relationship Id="rId4" Type="http://schemas.openxmlformats.org/officeDocument/2006/relationships/hyperlink" Target="https://pixabay.com/en/user-person-generic-single-general-23874/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reepngimg.com/png/71657-format-computer-file-pdf-document-icon" TargetMode="External"/><Relationship Id="rId3" Type="http://schemas.openxmlformats.org/officeDocument/2006/relationships/image" Target="../media/image10.png"/><Relationship Id="rId7" Type="http://schemas.openxmlformats.org/officeDocument/2006/relationships/image" Target="../media/image23.png"/><Relationship Id="rId2" Type="http://schemas.openxmlformats.org/officeDocument/2006/relationships/hyperlink" Target="https://freesvg.org/barman" TargetMode="External"/><Relationship Id="rId1" Type="http://schemas.openxmlformats.org/officeDocument/2006/relationships/image" Target="../media/image22.png"/><Relationship Id="rId6" Type="http://schemas.openxmlformats.org/officeDocument/2006/relationships/hyperlink" Target="https://pixabay.com/en/user-person-generic-single-general-23874/" TargetMode="External"/><Relationship Id="rId5" Type="http://schemas.openxmlformats.org/officeDocument/2006/relationships/image" Target="../media/image11.png"/><Relationship Id="rId4" Type="http://schemas.openxmlformats.org/officeDocument/2006/relationships/hyperlink" Target="https://pixabay.com/en/icon-icons-matt-shutdown-symbol-1294532/" TargetMode="Externa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reepngimg.com/png/71657-format-computer-file-pdf-document-icon" TargetMode="External"/><Relationship Id="rId3" Type="http://schemas.openxmlformats.org/officeDocument/2006/relationships/image" Target="../media/image10.png"/><Relationship Id="rId7" Type="http://schemas.openxmlformats.org/officeDocument/2006/relationships/image" Target="../media/image23.png"/><Relationship Id="rId2" Type="http://schemas.openxmlformats.org/officeDocument/2006/relationships/hyperlink" Target="https://freesvg.org/barman" TargetMode="External"/><Relationship Id="rId1" Type="http://schemas.openxmlformats.org/officeDocument/2006/relationships/image" Target="../media/image22.png"/><Relationship Id="rId6" Type="http://schemas.openxmlformats.org/officeDocument/2006/relationships/hyperlink" Target="https://pixabay.com/en/user-person-generic-single-general-23874/" TargetMode="External"/><Relationship Id="rId5" Type="http://schemas.openxmlformats.org/officeDocument/2006/relationships/image" Target="../media/image11.png"/><Relationship Id="rId4" Type="http://schemas.openxmlformats.org/officeDocument/2006/relationships/hyperlink" Target="https://pixabay.com/en/icon-icons-matt-shutdown-symbol-1294532/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https://pixabay.com/en/icon-icons-matt-shutdown-symbol-1294532/" TargetMode="External"/><Relationship Id="rId1" Type="http://schemas.openxmlformats.org/officeDocument/2006/relationships/image" Target="../media/image10.png"/><Relationship Id="rId4" Type="http://schemas.openxmlformats.org/officeDocument/2006/relationships/hyperlink" Target="https://pixabay.com/en/user-person-generic-single-general-23874/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reepngimg.com/png/71657-format-computer-file-pdf-document-icon" TargetMode="External"/><Relationship Id="rId3" Type="http://schemas.openxmlformats.org/officeDocument/2006/relationships/image" Target="../media/image10.png"/><Relationship Id="rId7" Type="http://schemas.openxmlformats.org/officeDocument/2006/relationships/image" Target="../media/image23.png"/><Relationship Id="rId2" Type="http://schemas.openxmlformats.org/officeDocument/2006/relationships/hyperlink" Target="https://freesvg.org/barman" TargetMode="External"/><Relationship Id="rId1" Type="http://schemas.openxmlformats.org/officeDocument/2006/relationships/image" Target="../media/image22.png"/><Relationship Id="rId6" Type="http://schemas.openxmlformats.org/officeDocument/2006/relationships/hyperlink" Target="https://pixabay.com/en/user-person-generic-single-general-23874/" TargetMode="External"/><Relationship Id="rId5" Type="http://schemas.openxmlformats.org/officeDocument/2006/relationships/image" Target="../media/image11.png"/><Relationship Id="rId4" Type="http://schemas.openxmlformats.org/officeDocument/2006/relationships/hyperlink" Target="https://pixabay.com/en/icon-icons-matt-shutdown-symbol-1294532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reepngimg.com/png/71657-format-computer-file-pdf-document-icon" TargetMode="External"/><Relationship Id="rId3" Type="http://schemas.openxmlformats.org/officeDocument/2006/relationships/image" Target="../media/image11.png"/><Relationship Id="rId7" Type="http://schemas.openxmlformats.org/officeDocument/2006/relationships/image" Target="../media/image23.png"/><Relationship Id="rId2" Type="http://schemas.openxmlformats.org/officeDocument/2006/relationships/hyperlink" Target="https://pixabay.com/en/icon-icons-matt-shutdown-symbol-1294532/" TargetMode="External"/><Relationship Id="rId1" Type="http://schemas.openxmlformats.org/officeDocument/2006/relationships/image" Target="../media/image10.png"/><Relationship Id="rId6" Type="http://schemas.openxmlformats.org/officeDocument/2006/relationships/hyperlink" Target="https://freesvg.org/barman" TargetMode="External"/><Relationship Id="rId5" Type="http://schemas.openxmlformats.org/officeDocument/2006/relationships/image" Target="../media/image22.png"/><Relationship Id="rId4" Type="http://schemas.openxmlformats.org/officeDocument/2006/relationships/hyperlink" Target="https://pixabay.com/en/user-person-generic-single-general-23874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https://pixabay.com/en/icon-icons-matt-shutdown-symbol-1294532/" TargetMode="External"/><Relationship Id="rId1" Type="http://schemas.openxmlformats.org/officeDocument/2006/relationships/image" Target="../media/image10.png"/><Relationship Id="rId4" Type="http://schemas.openxmlformats.org/officeDocument/2006/relationships/hyperlink" Target="https://pixabay.com/en/user-person-generic-single-general-23874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171450</xdr:rowOff>
    </xdr:from>
    <xdr:to>
      <xdr:col>10</xdr:col>
      <xdr:colOff>142875</xdr:colOff>
      <xdr:row>14</xdr:row>
      <xdr:rowOff>161926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4572000" y="1123950"/>
          <a:ext cx="3190875" cy="1952626"/>
          <a:chOff x="4572000" y="1123950"/>
          <a:chExt cx="3190875" cy="1952626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grpSp>
        <xdr:nvGrpSpPr>
          <xdr:cNvPr id="10" name="Group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4572000" y="1485901"/>
            <a:ext cx="3190875" cy="1590675"/>
            <a:chOff x="4572000" y="1485901"/>
            <a:chExt cx="3190875" cy="1590675"/>
          </a:xfrm>
        </xdr:grpSpPr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4572000" y="1485901"/>
              <a:ext cx="3190875" cy="1590675"/>
            </a:xfrm>
            <a:prstGeom prst="rect">
              <a:avLst/>
            </a:prstGeom>
            <a:solidFill>
              <a:srgbClr val="2C3E50"/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9457" name="loginTextBox" hidden="1">
                  <a:extLst>
                    <a:ext uri="{63B3BB69-23CF-44E3-9099-C40C66FF867C}">
                      <a14:compatExt spid="_x0000_s19457"/>
                    </a:ext>
                    <a:ext uri="{FF2B5EF4-FFF2-40B4-BE49-F238E27FC236}">
                      <a16:creationId xmlns:a16="http://schemas.microsoft.com/office/drawing/2014/main" id="{00000000-0008-0000-0000-0000014C0000}"/>
                    </a:ext>
                  </a:extLst>
                </xdr:cNvPr>
                <xdr:cNvSpPr/>
              </xdr:nvSpPr>
              <xdr:spPr bwMode="auto">
                <a:xfrm>
                  <a:off x="6286500" y="1695451"/>
                  <a:ext cx="1333500" cy="295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9459" name="pwdTextBox" hidden="1">
                  <a:extLst>
                    <a:ext uri="{63B3BB69-23CF-44E3-9099-C40C66FF867C}">
                      <a14:compatExt spid="_x0000_s19459"/>
                    </a:ext>
                    <a:ext uri="{FF2B5EF4-FFF2-40B4-BE49-F238E27FC236}">
                      <a16:creationId xmlns:a16="http://schemas.microsoft.com/office/drawing/2014/main" id="{00000000-0008-0000-0000-0000034C0000}"/>
                    </a:ext>
                  </a:extLst>
                </xdr:cNvPr>
                <xdr:cNvSpPr/>
              </xdr:nvSpPr>
              <xdr:spPr bwMode="auto">
                <a:xfrm>
                  <a:off x="6286500" y="2171701"/>
                  <a:ext cx="1333500" cy="295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4576762" y="1704976"/>
              <a:ext cx="1524000" cy="276225"/>
            </a:xfrm>
            <a:prstGeom prst="rect">
              <a:avLst/>
            </a:prstGeom>
            <a:noFill/>
            <a:ln w="9525" cmpd="sng"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fr-FR" sz="1400" b="1">
                  <a:solidFill>
                    <a:srgbClr val="F0F0F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Nom d'utilisateur</a:t>
              </a:r>
            </a:p>
          </xdr:txBody>
        </xdr:sp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576762" y="2181226"/>
              <a:ext cx="1524000" cy="276225"/>
            </a:xfrm>
            <a:prstGeom prst="rect">
              <a:avLst/>
            </a:prstGeom>
            <a:noFill/>
            <a:ln w="9525" cmpd="sng"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fr-FR" sz="1400" b="1">
                  <a:solidFill>
                    <a:srgbClr val="F0F0F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Mot de passe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9461" name="loginButton" hidden="1">
                  <a:extLst>
                    <a:ext uri="{63B3BB69-23CF-44E3-9099-C40C66FF867C}">
                      <a14:compatExt spid="_x0000_s19461"/>
                    </a:ext>
                    <a:ext uri="{FF2B5EF4-FFF2-40B4-BE49-F238E27FC236}">
                      <a16:creationId xmlns:a16="http://schemas.microsoft.com/office/drawing/2014/main" id="{00000000-0008-0000-0000-0000054C0000}"/>
                    </a:ext>
                  </a:extLst>
                </xdr:cNvPr>
                <xdr:cNvSpPr/>
              </xdr:nvSpPr>
              <xdr:spPr bwMode="auto">
                <a:xfrm>
                  <a:off x="6296025" y="2638426"/>
                  <a:ext cx="1314450" cy="3048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4572000" y="1123950"/>
            <a:ext cx="3189600" cy="360000"/>
            <a:chOff x="4562475" y="1123950"/>
            <a:chExt cx="3189600" cy="360000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4562475" y="1123950"/>
              <a:ext cx="3189600" cy="360000"/>
            </a:xfrm>
            <a:prstGeom prst="rect">
              <a:avLst/>
            </a:prstGeom>
            <a:solidFill>
              <a:srgbClr val="F89406"/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" name="ZoneText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562475" y="1143000"/>
              <a:ext cx="1828801" cy="324000"/>
            </a:xfrm>
            <a:prstGeom prst="rect">
              <a:avLst/>
            </a:prstGeom>
            <a:noFill/>
            <a:ln w="9525" cmpd="sng"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800" b="1">
                  <a:solidFill>
                    <a:schemeClr val="bg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Authentification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621858</xdr:colOff>
      <xdr:row>3</xdr:row>
      <xdr:rowOff>0</xdr:rowOff>
    </xdr:from>
    <xdr:to>
      <xdr:col>15</xdr:col>
      <xdr:colOff>0</xdr:colOff>
      <xdr:row>18</xdr:row>
      <xdr:rowOff>149892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383858" y="914400"/>
          <a:ext cx="10046142" cy="3007392"/>
          <a:chOff x="871008" y="524404"/>
          <a:chExt cx="10046142" cy="3007392"/>
        </a:xfrm>
      </xdr:grpSpPr>
      <xdr:grpSp>
        <xdr:nvGrpSpPr>
          <xdr:cNvPr id="24" name="Group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4259792" y="524404"/>
            <a:ext cx="3259050" cy="1449527"/>
            <a:chOff x="4276725" y="552449"/>
            <a:chExt cx="3259050" cy="1449527"/>
          </a:xfrm>
        </xdr:grpSpPr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4295775" y="561976"/>
              <a:ext cx="3240000" cy="1440000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E$43">
          <xdr:nvSpPr>
            <xdr:cNvPr id="15" name="ZoneTexte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4276725" y="552450"/>
              <a:ext cx="1620000" cy="10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B729061-6305-4E48-AB8F-57DDFB2648EF}" type="TxLink">
                <a:rPr lang="en-US" sz="2000" b="1" i="0" u="none" strike="noStrike">
                  <a:solidFill>
                    <a:srgbClr val="FFFFFF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rPr>
                <a:pPr algn="ctr"/>
                <a:t>11</a:t>
              </a:fld>
              <a:endParaRPr lang="fr-FR" sz="6000" b="1">
                <a:solidFill>
                  <a:srgbClr val="FFFFFF"/>
                </a:solidFill>
                <a:latin typeface="Georgia" panose="02040502050405020303" pitchFamily="18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4295775" y="1640251"/>
              <a:ext cx="3240000" cy="360000"/>
            </a:xfrm>
            <a:prstGeom prst="rect">
              <a:avLst/>
            </a:prstGeom>
            <a:solidFill>
              <a:srgbClr val="00E66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C$43">
          <xdr:nvSpPr>
            <xdr:cNvPr id="17" name="ZoneText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4277783" y="1685926"/>
              <a:ext cx="2520000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04E02A7A-B299-45C9-B5B2-92D839C5BF9A}" type="TxLink">
                <a:rPr lang="en-US" sz="1800" b="1" i="0" u="none" strike="noStrike">
                  <a:solidFill>
                    <a:srgbClr val="FFFFFF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rPr>
                <a:pPr algn="l"/>
                <a:t>Articles en commande</a:t>
              </a:fld>
              <a:endParaRPr lang="fr-FR" sz="2400" b="1">
                <a:solidFill>
                  <a:srgbClr val="FFFFFF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endParaRPr>
            </a:p>
          </xdr:txBody>
        </xdr:sp>
        <xdr:pic>
          <xdr:nvPicPr>
            <xdr:cNvPr id="19" name="Image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duotone>
                <a:schemeClr val="accent6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6506630" y="552449"/>
              <a:ext cx="779999" cy="1080000"/>
            </a:xfrm>
            <a:prstGeom prst="rect">
              <a:avLst/>
            </a:prstGeom>
          </xdr:spPr>
        </xdr:pic>
      </xdr:grpSp>
      <xdr:grpSp>
        <xdr:nvGrpSpPr>
          <xdr:cNvPr id="47" name="Group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GrpSpPr/>
        </xdr:nvGrpSpPr>
        <xdr:grpSpPr>
          <a:xfrm>
            <a:off x="7658100" y="524404"/>
            <a:ext cx="3259050" cy="1449526"/>
            <a:chOff x="7972425" y="561976"/>
            <a:chExt cx="3259050" cy="1449526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7991475" y="571502"/>
              <a:ext cx="3240000" cy="1440000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E$44">
          <xdr:nvSpPr>
            <xdr:cNvPr id="27" name="ZoneTexte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7972425" y="561976"/>
              <a:ext cx="1620000" cy="10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278BFFA-0880-40D8-8BFD-47CD2CAC852D}" type="TxLink">
                <a:rPr lang="en-US" sz="2000" b="1" i="0" u="none" strike="noStrike">
                  <a:solidFill>
                    <a:srgbClr val="C58460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rPr>
                <a:pPr algn="ctr"/>
                <a:t>3</a:t>
              </a:fld>
              <a:endParaRPr lang="fr-FR" sz="6000" b="1">
                <a:solidFill>
                  <a:srgbClr val="C58460"/>
                </a:solidFill>
                <a:latin typeface="Georgia" panose="02040502050405020303" pitchFamily="18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7991475" y="1649777"/>
              <a:ext cx="3240000" cy="360000"/>
            </a:xfrm>
            <a:prstGeom prst="rect">
              <a:avLst/>
            </a:prstGeom>
            <a:solidFill>
              <a:srgbClr val="FA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C$44">
          <xdr:nvSpPr>
            <xdr:cNvPr id="30" name="ZoneTexte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7973483" y="1695452"/>
              <a:ext cx="2520000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4935824E-017F-4AA6-A74B-85A1EA3C4CC0}" type="TxLink">
                <a:rPr lang="en-US" sz="1800" b="1" i="0" u="none" strike="noStrike">
                  <a:solidFill>
                    <a:schemeClr val="bg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rPr>
                <a:pPr algn="l"/>
                <a:t>Articles critiques</a:t>
              </a:fld>
              <a:endParaRPr lang="fr-FR" sz="1800" b="1">
                <a:solidFill>
                  <a:schemeClr val="bg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endParaRPr>
            </a:p>
          </xdr:txBody>
        </xdr:sp>
        <xdr:pic>
          <xdr:nvPicPr>
            <xdr:cNvPr id="33" name="Image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9921873" y="609600"/>
              <a:ext cx="1116000" cy="1080000"/>
            </a:xfrm>
            <a:prstGeom prst="rect">
              <a:avLst/>
            </a:prstGeom>
          </xdr:spPr>
        </xdr:pic>
      </xdr:grpSp>
      <xdr:grpSp>
        <xdr:nvGrpSpPr>
          <xdr:cNvPr id="46" name="Group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880533" y="524404"/>
            <a:ext cx="3240000" cy="1449526"/>
            <a:chOff x="762000" y="542924"/>
            <a:chExt cx="3240000" cy="1449526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762000" y="552450"/>
              <a:ext cx="3240000" cy="1440000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E$42">
          <xdr:nvSpPr>
            <xdr:cNvPr id="8" name="ZoneTexte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771525" y="542924"/>
              <a:ext cx="1726142" cy="10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9A8BC23-C067-4151-BBB9-9274CB9FAEEC}" type="TxLink">
                <a:rPr lang="en-US" sz="2000" b="1" i="0" u="none" strike="noStrike">
                  <a:solidFill>
                    <a:srgbClr val="D17615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rPr>
                <a:pPr algn="ctr"/>
                <a:t>321 600 Ar</a:t>
              </a:fld>
              <a:endParaRPr lang="fr-FR" sz="6000" b="1">
                <a:solidFill>
                  <a:srgbClr val="D17615"/>
                </a:solidFill>
                <a:latin typeface="Georgia" panose="02040502050405020303" pitchFamily="18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762000" y="1630725"/>
              <a:ext cx="3240000" cy="360000"/>
            </a:xfrm>
            <a:prstGeom prst="rect">
              <a:avLst/>
            </a:prstGeom>
            <a:solidFill>
              <a:srgbClr val="FFCD2D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C$42">
          <xdr:nvSpPr>
            <xdr:cNvPr id="10" name="ZoneText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781050" y="1676400"/>
              <a:ext cx="2520000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E1C59927-4A1C-4DF6-800D-2228E19CAD02}" type="TxLink">
                <a:rPr lang="en-US" sz="1800" b="1" i="0" u="none" strike="noStrike">
                  <a:solidFill>
                    <a:schemeClr val="bg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rPr>
                <a:pPr algn="l"/>
                <a:t>Valeur du stock</a:t>
              </a:fld>
              <a:endParaRPr lang="fr-FR" sz="2400" b="1" i="0">
                <a:solidFill>
                  <a:schemeClr val="bg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endParaRPr>
            </a:p>
          </xdr:txBody>
        </xdr:sp>
        <xdr:pic>
          <xdr:nvPicPr>
            <xdr:cNvPr id="44" name="Image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6"/>
                </a:ext>
              </a:extLst>
            </a:blip>
            <a:stretch>
              <a:fillRect/>
            </a:stretch>
          </xdr:blipFill>
          <xdr:spPr>
            <a:xfrm>
              <a:off x="2490257" y="571500"/>
              <a:ext cx="1303048" cy="1080000"/>
            </a:xfrm>
            <a:prstGeom prst="rect">
              <a:avLst/>
            </a:prstGeom>
          </xdr:spPr>
        </xdr:pic>
      </xdr:grpSp>
      <xdr:grpSp>
        <xdr:nvGrpSpPr>
          <xdr:cNvPr id="67" name="Groupe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871008" y="2082270"/>
            <a:ext cx="3259050" cy="1449526"/>
            <a:chOff x="733425" y="2238375"/>
            <a:chExt cx="3259050" cy="1449526"/>
          </a:xfrm>
        </xdr:grpSpPr>
        <xdr:sp macro="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752475" y="2247901"/>
              <a:ext cx="3240000" cy="1440000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E$45">
          <xdr:nvSpPr>
            <xdr:cNvPr id="50" name="ZoneTexte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733425" y="2238375"/>
              <a:ext cx="1620000" cy="10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49056B1-704F-4F38-B693-575BFE21745C}" type="TxLink">
                <a:rPr lang="en-US" sz="2000" b="1" i="0" u="none" strike="noStrike">
                  <a:solidFill>
                    <a:srgbClr val="97D2FF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rPr>
                <a:pPr algn="ctr"/>
                <a:t>7</a:t>
              </a:fld>
              <a:endParaRPr lang="fr-FR" sz="2000" b="1">
                <a:solidFill>
                  <a:srgbClr val="97D2FF"/>
                </a:solidFill>
                <a:latin typeface="Georgia" panose="02040502050405020303" pitchFamily="18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752475" y="3326176"/>
              <a:ext cx="3240000" cy="360000"/>
            </a:xfrm>
            <a:prstGeom prst="rect">
              <a:avLst/>
            </a:prstGeom>
            <a:solidFill>
              <a:srgbClr val="0038A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C$45">
          <xdr:nvSpPr>
            <xdr:cNvPr id="52" name="ZoneTexte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734483" y="3371851"/>
              <a:ext cx="2832100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6CC3C625-6919-412A-8DB5-ABC535A5690B}" type="TxLink">
                <a:rPr lang="en-US" sz="1800" b="1" i="0" u="none" strike="noStrike">
                  <a:solidFill>
                    <a:schemeClr val="bg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rPr>
                <a:pPr algn="l"/>
                <a:t>Nombre d'articles en stock</a:t>
              </a:fld>
              <a:endParaRPr lang="fr-FR" sz="2400" b="1">
                <a:solidFill>
                  <a:schemeClr val="bg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endParaRPr>
            </a:p>
          </xdr:txBody>
        </xdr:sp>
        <xdr:pic>
          <xdr:nvPicPr>
            <xdr:cNvPr id="55" name="Image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duotone>
                <a:prstClr val="black"/>
                <a:schemeClr val="accent5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8"/>
                </a:ext>
              </a:extLst>
            </a:blip>
            <a:stretch>
              <a:fillRect/>
            </a:stretch>
          </xdr:blipFill>
          <xdr:spPr>
            <a:xfrm>
              <a:off x="2667002" y="2254249"/>
              <a:ext cx="1080540" cy="1080000"/>
            </a:xfrm>
            <a:prstGeom prst="rect">
              <a:avLst/>
            </a:prstGeom>
          </xdr:spPr>
        </xdr:pic>
      </xdr:grpSp>
      <xdr:grpSp>
        <xdr:nvGrpSpPr>
          <xdr:cNvPr id="74" name="Groupe 73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GrpSpPr/>
        </xdr:nvGrpSpPr>
        <xdr:grpSpPr>
          <a:xfrm>
            <a:off x="4259792" y="2082270"/>
            <a:ext cx="3259050" cy="1449526"/>
            <a:chOff x="4306359" y="2222500"/>
            <a:chExt cx="3259050" cy="1449526"/>
          </a:xfrm>
        </xdr:grpSpPr>
        <xdr:sp macro="" textlink="">
          <xdr:nvSpPr>
            <xdr:cNvPr id="69" name="Rectangle 68">
              <a:extLst>
                <a:ext uri="{FF2B5EF4-FFF2-40B4-BE49-F238E27FC236}">
                  <a16:creationId xmlns:a16="http://schemas.microsoft.com/office/drawing/2014/main" id="{00000000-0008-0000-0100-000045000000}"/>
                </a:ext>
              </a:extLst>
            </xdr:cNvPr>
            <xdr:cNvSpPr/>
          </xdr:nvSpPr>
          <xdr:spPr>
            <a:xfrm>
              <a:off x="4325409" y="2232026"/>
              <a:ext cx="3240000" cy="1440000"/>
            </a:xfrm>
            <a:prstGeom prst="rect">
              <a:avLst/>
            </a:prstGeom>
            <a:solidFill>
              <a:srgbClr val="ED8137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62" name="Image 6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0"/>
                </a:ext>
              </a:extLst>
            </a:blip>
            <a:stretch>
              <a:fillRect/>
            </a:stretch>
          </xdr:blipFill>
          <xdr:spPr>
            <a:xfrm>
              <a:off x="6392329" y="2233083"/>
              <a:ext cx="1080000" cy="1080000"/>
            </a:xfrm>
            <a:prstGeom prst="rect">
              <a:avLst/>
            </a:prstGeom>
          </xdr:spPr>
        </xdr:pic>
        <xdr:sp macro="" textlink="Paramètres!$E$46">
          <xdr:nvSpPr>
            <xdr:cNvPr id="70" name="ZoneTexte 69">
              <a:extLst>
                <a:ext uri="{FF2B5EF4-FFF2-40B4-BE49-F238E27FC236}">
                  <a16:creationId xmlns:a16="http://schemas.microsoft.com/office/drawing/2014/main" id="{00000000-0008-0000-0100-000046000000}"/>
                </a:ext>
              </a:extLst>
            </xdr:cNvPr>
            <xdr:cNvSpPr txBox="1"/>
          </xdr:nvSpPr>
          <xdr:spPr>
            <a:xfrm>
              <a:off x="4306359" y="2222500"/>
              <a:ext cx="1620000" cy="10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763307B-44CF-467B-AD6D-B7E267C4F9F1}" type="TxLink">
                <a:rPr lang="en-US" sz="2000" b="1" i="0" u="none" strike="noStrike">
                  <a:solidFill>
                    <a:srgbClr val="DFD9F2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rPr>
                <a:pPr algn="ctr"/>
                <a:t>127,5</a:t>
              </a:fld>
              <a:endParaRPr lang="fr-FR" sz="2000" b="1">
                <a:solidFill>
                  <a:srgbClr val="DFD9F2"/>
                </a:solidFill>
                <a:latin typeface="Georgia" panose="02040502050405020303" pitchFamily="18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71" name="Rectangle 70">
              <a:extLst>
                <a:ext uri="{FF2B5EF4-FFF2-40B4-BE49-F238E27FC236}">
                  <a16:creationId xmlns:a16="http://schemas.microsoft.com/office/drawing/2014/main" id="{00000000-0008-0000-0100-000047000000}"/>
                </a:ext>
              </a:extLst>
            </xdr:cNvPr>
            <xdr:cNvSpPr/>
          </xdr:nvSpPr>
          <xdr:spPr>
            <a:xfrm>
              <a:off x="4325409" y="3310301"/>
              <a:ext cx="3240000" cy="360000"/>
            </a:xfrm>
            <a:prstGeom prst="rect">
              <a:avLst/>
            </a:prstGeom>
            <a:solidFill>
              <a:srgbClr val="F1995D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C$46">
          <xdr:nvSpPr>
            <xdr:cNvPr id="72" name="ZoneTexte 71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 txBox="1"/>
          </xdr:nvSpPr>
          <xdr:spPr>
            <a:xfrm>
              <a:off x="4325409" y="3355976"/>
              <a:ext cx="2520000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00C0EBBD-ACC0-487F-9C8D-76981695925F}" type="TxLink">
                <a:rPr lang="en-US" sz="1800" b="1" i="0" u="none" strike="noStrike">
                  <a:solidFill>
                    <a:schemeClr val="bg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rPr>
                <a:pPr algn="l"/>
                <a:t>Volume du stock</a:t>
              </a:fld>
              <a:endParaRPr lang="fr-FR" sz="1800" b="1">
                <a:solidFill>
                  <a:schemeClr val="bg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7667625" y="2087033"/>
            <a:ext cx="3240000" cy="1440000"/>
            <a:chOff x="7966075" y="2242609"/>
            <a:chExt cx="3240000" cy="144000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SpPr/>
          </xdr:nvSpPr>
          <xdr:spPr>
            <a:xfrm>
              <a:off x="7966075" y="2242609"/>
              <a:ext cx="3240000" cy="1440000"/>
            </a:xfrm>
            <a:prstGeom prst="rect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65" name="Imag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2"/>
                </a:ext>
              </a:extLst>
            </a:blip>
            <a:stretch>
              <a:fillRect/>
            </a:stretch>
          </xdr:blipFill>
          <xdr:spPr>
            <a:xfrm>
              <a:off x="10329335" y="2264835"/>
              <a:ext cx="691059" cy="1080000"/>
            </a:xfrm>
            <a:prstGeom prst="rect">
              <a:avLst/>
            </a:prstGeom>
          </xdr:spPr>
        </xdr:pic>
        <xdr:sp macro="" textlink="">
          <xdr:nvSpPr>
            <xdr:cNvPr id="79" name="Rectangle 78">
              <a:extLs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SpPr/>
          </xdr:nvSpPr>
          <xdr:spPr>
            <a:xfrm>
              <a:off x="7966075" y="3320884"/>
              <a:ext cx="3240000" cy="360000"/>
            </a:xfrm>
            <a:prstGeom prst="rect">
              <a:avLst/>
            </a:prstGeom>
            <a:solidFill>
              <a:srgbClr val="2E2E2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Paramètres!$C$47">
          <xdr:nvSpPr>
            <xdr:cNvPr id="80" name="ZoneTexte 79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 txBox="1"/>
          </xdr:nvSpPr>
          <xdr:spPr>
            <a:xfrm>
              <a:off x="7966075" y="3366559"/>
              <a:ext cx="2520000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3DADD7D3-4ABE-4683-B315-42097FD977A0}" type="TxLink">
                <a:rPr lang="en-US" sz="1800" b="1" i="0" u="none" strike="noStrike">
                  <a:solidFill>
                    <a:schemeClr val="bg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rPr>
                <a:pPr algn="l"/>
                <a:t>Top 3 articles vendus</a:t>
              </a:fld>
              <a:endParaRPr lang="fr-FR" sz="1800" b="1">
                <a:solidFill>
                  <a:schemeClr val="bg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5" name="Group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7966075" y="2243668"/>
              <a:ext cx="2215092" cy="1079668"/>
              <a:chOff x="11428941" y="1375833"/>
              <a:chExt cx="2215092" cy="1079668"/>
            </a:xfrm>
          </xdr:grpSpPr>
          <xdr:sp macro="" textlink="Paramètres!$E$47">
            <xdr:nvSpPr>
              <xdr:cNvPr id="78" name="ZoneTexte 77">
                <a:extLst>
                  <a:ext uri="{FF2B5EF4-FFF2-40B4-BE49-F238E27FC236}">
                    <a16:creationId xmlns:a16="http://schemas.microsoft.com/office/drawing/2014/main" id="{00000000-0008-0000-0100-00004E000000}"/>
                  </a:ext>
                </a:extLst>
              </xdr:cNvPr>
              <xdr:cNvSpPr txBox="1"/>
            </xdr:nvSpPr>
            <xdr:spPr>
              <a:xfrm>
                <a:off x="11428941" y="1375833"/>
                <a:ext cx="2215092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5CD2EAF-EC6D-4337-9A95-DAED733F3498}" type="TxLink">
                  <a:rPr lang="en-US" sz="2000" b="0" i="0" u="none" strike="noStrike">
                    <a:solidFill>
                      <a:srgbClr val="424242"/>
                    </a:solidFill>
                    <a:latin typeface="Georgia" panose="02040502050405020303" pitchFamily="18" charset="0"/>
                    <a:ea typeface="Tahoma" panose="020B0604030504040204" pitchFamily="34" charset="0"/>
                    <a:cs typeface="Tahoma" panose="020B0604030504040204" pitchFamily="34" charset="0"/>
                  </a:rPr>
                  <a:pPr algn="ctr"/>
                  <a:t>Bolo</a:t>
                </a:fld>
                <a:endParaRPr lang="fr-FR" sz="2000" b="1">
                  <a:solidFill>
                    <a:srgbClr val="424242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endParaRPr>
              </a:p>
            </xdr:txBody>
          </xdr:sp>
          <xdr:sp macro="" textlink="Paramètres!$E$48">
            <xdr:nvSpPr>
              <xdr:cNvPr id="2" name="ZoneTexte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 txBox="1"/>
            </xdr:nvSpPr>
            <xdr:spPr>
              <a:xfrm>
                <a:off x="11428941" y="1735666"/>
                <a:ext cx="2215092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5D623979-F42B-4E5E-AA49-8CB42CC5835D}" type="TxLink">
                  <a:rPr lang="en-US" sz="2000" b="0" i="0" u="none" strike="noStrike">
                    <a:solidFill>
                      <a:srgbClr val="424242"/>
                    </a:solidFill>
                    <a:latin typeface="Georgia" panose="02040502050405020303" pitchFamily="18" charset="0"/>
                    <a:ea typeface="Tahoma" panose="020B0604030504040204" pitchFamily="34" charset="0"/>
                    <a:cs typeface="Tahoma" panose="020B0604030504040204" pitchFamily="34" charset="0"/>
                  </a:rPr>
                  <a:pPr algn="ctr"/>
                  <a:t>Rhum</a:t>
                </a:fld>
                <a:endParaRPr lang="fr-FR" sz="2000" b="1">
                  <a:solidFill>
                    <a:srgbClr val="424242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endParaRPr>
              </a:p>
            </xdr:txBody>
          </xdr:sp>
          <xdr:sp macro="" textlink="Paramètres!$E$49">
            <xdr:nvSpPr>
              <xdr:cNvPr id="3" name="ZoneTexte 2">
                <a:extLst>
                  <a:ext uri="{FF2B5EF4-FFF2-40B4-BE49-F238E27FC236}">
                    <a16:creationId xmlns:a16="http://schemas.microsoft.com/office/drawing/2014/main" id="{00000000-0008-0000-0100-000003000000}"/>
                  </a:ext>
                </a:extLst>
              </xdr:cNvPr>
              <xdr:cNvSpPr txBox="1"/>
            </xdr:nvSpPr>
            <xdr:spPr>
              <a:xfrm>
                <a:off x="11428941" y="2095501"/>
                <a:ext cx="2215092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25757B04-2F40-4F0A-B590-2F0910F6F983}" type="TxLink">
                  <a:rPr lang="en-US" sz="2000" b="0" i="0" u="none" strike="noStrike">
                    <a:solidFill>
                      <a:srgbClr val="424242"/>
                    </a:solidFill>
                    <a:latin typeface="Georgia" panose="02040502050405020303" pitchFamily="18" charset="0"/>
                    <a:ea typeface="Tahoma" panose="020B0604030504040204" pitchFamily="34" charset="0"/>
                    <a:cs typeface="Tahoma" panose="020B0604030504040204" pitchFamily="34" charset="0"/>
                  </a:rPr>
                  <a:pPr algn="ctr"/>
                  <a:t>Youzou 35cl</a:t>
                </a:fld>
                <a:endParaRPr lang="fr-FR" sz="2000" b="1">
                  <a:solidFill>
                    <a:srgbClr val="424242"/>
                  </a:solidFill>
                  <a:latin typeface="Georgia" panose="02040502050405020303" pitchFamily="18" charset="0"/>
                  <a:ea typeface="Tahoma" panose="020B0604030504040204" pitchFamily="34" charset="0"/>
                  <a:cs typeface="Tahoma" panose="020B0604030504040204" pitchFamily="34" charset="0"/>
                </a:endParaRPr>
              </a:p>
            </xdr:txBody>
          </xdr:sp>
        </xdr:grpSp>
      </xdr:grpSp>
    </xdr:grpSp>
    <xdr:clientData/>
  </xdr:twoCellAnchor>
  <xdr:twoCellAnchor editAs="absolute">
    <xdr:from>
      <xdr:col>0</xdr:col>
      <xdr:colOff>0</xdr:colOff>
      <xdr:row>0</xdr:row>
      <xdr:rowOff>3292</xdr:rowOff>
    </xdr:from>
    <xdr:to>
      <xdr:col>16</xdr:col>
      <xdr:colOff>372000</xdr:colOff>
      <xdr:row>0</xdr:row>
      <xdr:rowOff>521692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0" y="3292"/>
          <a:ext cx="12564000" cy="518400"/>
          <a:chOff x="0" y="3292"/>
          <a:chExt cx="12564000" cy="518400"/>
        </a:xfrm>
      </xdr:grpSpPr>
      <xdr:sp macro="" textlink="">
        <xdr:nvSpPr>
          <xdr:cNvPr id="13" name="MenuBar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18" name="MenuItem1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20" name="MenuItem2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21" name="MenuItem3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22" name="MenuItem4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23" name="MenuItem5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25" name="MenuItem6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29" name="MenuItem7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31" name="MenuItem8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37" name="MenuItem10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4" name="MenuItem9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53" name="Groupe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12" name="Imag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4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35" name="Image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6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39" name="UserNameItem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752475</xdr:colOff>
          <xdr:row>1</xdr:row>
          <xdr:rowOff>180975</xdr:rowOff>
        </xdr:from>
        <xdr:to>
          <xdr:col>3</xdr:col>
          <xdr:colOff>1381125</xdr:colOff>
          <xdr:row>3</xdr:row>
          <xdr:rowOff>9525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752475" y="714375"/>
              <a:ext cx="2876550" cy="323850"/>
              <a:chOff x="752475" y="714375"/>
              <a:chExt cx="2876550" cy="323850"/>
            </a:xfrm>
          </xdr:grpSpPr>
          <xdr:sp macro="" textlink="">
            <xdr:nvSpPr>
              <xdr:cNvPr id="2050" name="addButton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752475" y="71437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" name="deleteButton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2667000" y="71437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2" name="editButton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1704975" y="71437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15</xdr:col>
      <xdr:colOff>38625</xdr:colOff>
      <xdr:row>0</xdr:row>
      <xdr:rowOff>518400</xdr:rowOff>
    </xdr:to>
    <xdr:grpSp>
      <xdr:nvGrpSpPr>
        <xdr:cNvPr id="2110" name="Groupe 2109">
          <a:extLst>
            <a:ext uri="{FF2B5EF4-FFF2-40B4-BE49-F238E27FC236}">
              <a16:creationId xmlns:a16="http://schemas.microsoft.com/office/drawing/2014/main" id="{00000000-0008-0000-0200-00003E08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2111" name="MenuBar">
            <a:extLst>
              <a:ext uri="{FF2B5EF4-FFF2-40B4-BE49-F238E27FC236}">
                <a16:creationId xmlns:a16="http://schemas.microsoft.com/office/drawing/2014/main" id="{00000000-0008-0000-0200-00003F08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2112" name="MenuItem1">
            <a:extLst>
              <a:ext uri="{FF2B5EF4-FFF2-40B4-BE49-F238E27FC236}">
                <a16:creationId xmlns:a16="http://schemas.microsoft.com/office/drawing/2014/main" id="{00000000-0008-0000-0200-00004008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2113" name="MenuItem2">
            <a:extLst>
              <a:ext uri="{FF2B5EF4-FFF2-40B4-BE49-F238E27FC236}">
                <a16:creationId xmlns:a16="http://schemas.microsoft.com/office/drawing/2014/main" id="{00000000-0008-0000-0200-00004108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2114" name="MenuItem3">
            <a:extLst>
              <a:ext uri="{FF2B5EF4-FFF2-40B4-BE49-F238E27FC236}">
                <a16:creationId xmlns:a16="http://schemas.microsoft.com/office/drawing/2014/main" id="{00000000-0008-0000-0200-00004208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2115" name="MenuItem4">
            <a:extLst>
              <a:ext uri="{FF2B5EF4-FFF2-40B4-BE49-F238E27FC236}">
                <a16:creationId xmlns:a16="http://schemas.microsoft.com/office/drawing/2014/main" id="{00000000-0008-0000-0200-00004308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2116" name="MenuItem5">
            <a:extLst>
              <a:ext uri="{FF2B5EF4-FFF2-40B4-BE49-F238E27FC236}">
                <a16:creationId xmlns:a16="http://schemas.microsoft.com/office/drawing/2014/main" id="{00000000-0008-0000-0200-00004408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2117" name="MenuItem6">
            <a:extLst>
              <a:ext uri="{FF2B5EF4-FFF2-40B4-BE49-F238E27FC236}">
                <a16:creationId xmlns:a16="http://schemas.microsoft.com/office/drawing/2014/main" id="{00000000-0008-0000-0200-00004508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2118" name="MenuItem7">
            <a:extLst>
              <a:ext uri="{FF2B5EF4-FFF2-40B4-BE49-F238E27FC236}">
                <a16:creationId xmlns:a16="http://schemas.microsoft.com/office/drawing/2014/main" id="{00000000-0008-0000-0200-00004608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2119" name="MenuItem8">
            <a:extLst>
              <a:ext uri="{FF2B5EF4-FFF2-40B4-BE49-F238E27FC236}">
                <a16:creationId xmlns:a16="http://schemas.microsoft.com/office/drawing/2014/main" id="{00000000-0008-0000-0200-00004708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2120" name="MenuItem10">
            <a:extLst>
              <a:ext uri="{FF2B5EF4-FFF2-40B4-BE49-F238E27FC236}">
                <a16:creationId xmlns:a16="http://schemas.microsoft.com/office/drawing/2014/main" id="{00000000-0008-0000-0200-00004808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2121" name="MenuItem9">
            <a:extLst>
              <a:ext uri="{FF2B5EF4-FFF2-40B4-BE49-F238E27FC236}">
                <a16:creationId xmlns:a16="http://schemas.microsoft.com/office/drawing/2014/main" id="{00000000-0008-0000-0200-00004908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2122" name="Groupe 2121">
            <a:extLst>
              <a:ext uri="{FF2B5EF4-FFF2-40B4-BE49-F238E27FC236}">
                <a16:creationId xmlns:a16="http://schemas.microsoft.com/office/drawing/2014/main" id="{00000000-0008-0000-0200-00004A08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2123" name="Rectangle 2122">
              <a:extLst>
                <a:ext uri="{FF2B5EF4-FFF2-40B4-BE49-F238E27FC236}">
                  <a16:creationId xmlns:a16="http://schemas.microsoft.com/office/drawing/2014/main" id="{00000000-0008-0000-0200-00004B08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2124" name="Image 2123">
              <a:extLst>
                <a:ext uri="{FF2B5EF4-FFF2-40B4-BE49-F238E27FC236}">
                  <a16:creationId xmlns:a16="http://schemas.microsoft.com/office/drawing/2014/main" id="{00000000-0008-0000-0200-00004C0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2125" name="Image 2124">
              <a:extLst>
                <a:ext uri="{FF2B5EF4-FFF2-40B4-BE49-F238E27FC236}">
                  <a16:creationId xmlns:a16="http://schemas.microsoft.com/office/drawing/2014/main" id="{00000000-0008-0000-0200-00004D0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2126" name="UserNameItem">
              <a:extLst>
                <a:ext uri="{FF2B5EF4-FFF2-40B4-BE49-F238E27FC236}">
                  <a16:creationId xmlns:a16="http://schemas.microsoft.com/office/drawing/2014/main" id="{00000000-0008-0000-0200-00004E08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180975</xdr:rowOff>
        </xdr:from>
        <xdr:to>
          <xdr:col>4</xdr:col>
          <xdr:colOff>342900</xdr:colOff>
          <xdr:row>3</xdr:row>
          <xdr:rowOff>0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762000" y="714375"/>
              <a:ext cx="2876550" cy="323850"/>
              <a:chOff x="762000" y="714375"/>
              <a:chExt cx="2876550" cy="323850"/>
            </a:xfrm>
          </xdr:grpSpPr>
          <xdr:sp macro="" textlink="">
            <xdr:nvSpPr>
              <xdr:cNvPr id="1026" name="addButton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300-000002040000}"/>
                  </a:ext>
                </a:extLst>
              </xdr:cNvPr>
              <xdr:cNvSpPr/>
            </xdr:nvSpPr>
            <xdr:spPr bwMode="auto">
              <a:xfrm>
                <a:off x="762000" y="71437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9" name="delete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300-000005040000}"/>
                  </a:ext>
                </a:extLst>
              </xdr:cNvPr>
              <xdr:cNvSpPr/>
            </xdr:nvSpPr>
            <xdr:spPr bwMode="auto">
              <a:xfrm>
                <a:off x="2676525" y="71437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edit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300-000006040000}"/>
                  </a:ext>
                </a:extLst>
              </xdr:cNvPr>
              <xdr:cNvSpPr/>
            </xdr:nvSpPr>
            <xdr:spPr bwMode="auto">
              <a:xfrm>
                <a:off x="1714500" y="71437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22</xdr:col>
      <xdr:colOff>391050</xdr:colOff>
      <xdr:row>0</xdr:row>
      <xdr:rowOff>518400</xdr:rowOff>
    </xdr:to>
    <xdr:grpSp>
      <xdr:nvGrpSpPr>
        <xdr:cNvPr id="1133" name="Groupe 1132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1134" name="MenuBar">
            <a:extLst>
              <a:ext uri="{FF2B5EF4-FFF2-40B4-BE49-F238E27FC236}">
                <a16:creationId xmlns:a16="http://schemas.microsoft.com/office/drawing/2014/main" id="{00000000-0008-0000-0300-00006E04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1135" name="MenuItem1">
            <a:extLst>
              <a:ext uri="{FF2B5EF4-FFF2-40B4-BE49-F238E27FC236}">
                <a16:creationId xmlns:a16="http://schemas.microsoft.com/office/drawing/2014/main" id="{00000000-0008-0000-0300-00006F04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1136" name="MenuItem2">
            <a:extLst>
              <a:ext uri="{FF2B5EF4-FFF2-40B4-BE49-F238E27FC236}">
                <a16:creationId xmlns:a16="http://schemas.microsoft.com/office/drawing/2014/main" id="{00000000-0008-0000-0300-00007004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1137" name="MenuItem3">
            <a:extLst>
              <a:ext uri="{FF2B5EF4-FFF2-40B4-BE49-F238E27FC236}">
                <a16:creationId xmlns:a16="http://schemas.microsoft.com/office/drawing/2014/main" id="{00000000-0008-0000-0300-00007104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1138" name="MenuItem4">
            <a:extLst>
              <a:ext uri="{FF2B5EF4-FFF2-40B4-BE49-F238E27FC236}">
                <a16:creationId xmlns:a16="http://schemas.microsoft.com/office/drawing/2014/main" id="{00000000-0008-0000-0300-00007204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1139" name="MenuItem5">
            <a:extLst>
              <a:ext uri="{FF2B5EF4-FFF2-40B4-BE49-F238E27FC236}">
                <a16:creationId xmlns:a16="http://schemas.microsoft.com/office/drawing/2014/main" id="{00000000-0008-0000-0300-00007304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1140" name="MenuItem6">
            <a:extLst>
              <a:ext uri="{FF2B5EF4-FFF2-40B4-BE49-F238E27FC236}">
                <a16:creationId xmlns:a16="http://schemas.microsoft.com/office/drawing/2014/main" id="{00000000-0008-0000-0300-00007404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1141" name="MenuItem7">
            <a:extLst>
              <a:ext uri="{FF2B5EF4-FFF2-40B4-BE49-F238E27FC236}">
                <a16:creationId xmlns:a16="http://schemas.microsoft.com/office/drawing/2014/main" id="{00000000-0008-0000-0300-00007504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1142" name="MenuItem8">
            <a:extLst>
              <a:ext uri="{FF2B5EF4-FFF2-40B4-BE49-F238E27FC236}">
                <a16:creationId xmlns:a16="http://schemas.microsoft.com/office/drawing/2014/main" id="{00000000-0008-0000-0300-00007604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1143" name="MenuItem10">
            <a:extLst>
              <a:ext uri="{FF2B5EF4-FFF2-40B4-BE49-F238E27FC236}">
                <a16:creationId xmlns:a16="http://schemas.microsoft.com/office/drawing/2014/main" id="{00000000-0008-0000-0300-00007704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1144" name="MenuItem9">
            <a:extLst>
              <a:ext uri="{FF2B5EF4-FFF2-40B4-BE49-F238E27FC236}">
                <a16:creationId xmlns:a16="http://schemas.microsoft.com/office/drawing/2014/main" id="{00000000-0008-0000-0300-00007804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1145" name="Groupe 1144">
            <a:extLst>
              <a:ext uri="{FF2B5EF4-FFF2-40B4-BE49-F238E27FC236}">
                <a16:creationId xmlns:a16="http://schemas.microsoft.com/office/drawing/2014/main" id="{00000000-0008-0000-0300-00007904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1146" name="Rectangle 1145">
              <a:extLst>
                <a:ext uri="{FF2B5EF4-FFF2-40B4-BE49-F238E27FC236}">
                  <a16:creationId xmlns:a16="http://schemas.microsoft.com/office/drawing/2014/main" id="{00000000-0008-0000-0300-00007A04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1147" name="Image 1146">
              <a:extLst>
                <a:ext uri="{FF2B5EF4-FFF2-40B4-BE49-F238E27FC236}">
                  <a16:creationId xmlns:a16="http://schemas.microsoft.com/office/drawing/2014/main" id="{00000000-0008-0000-0300-00007B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1148" name="Image 1147">
              <a:extLst>
                <a:ext uri="{FF2B5EF4-FFF2-40B4-BE49-F238E27FC236}">
                  <a16:creationId xmlns:a16="http://schemas.microsoft.com/office/drawing/2014/main" id="{00000000-0008-0000-0300-00007C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1149" name="UserNameItem">
              <a:extLst>
                <a:ext uri="{FF2B5EF4-FFF2-40B4-BE49-F238E27FC236}">
                  <a16:creationId xmlns:a16="http://schemas.microsoft.com/office/drawing/2014/main" id="{00000000-0008-0000-0300-00007D04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171450</xdr:rowOff>
        </xdr:from>
        <xdr:to>
          <xdr:col>4</xdr:col>
          <xdr:colOff>304800</xdr:colOff>
          <xdr:row>3</xdr:row>
          <xdr:rowOff>0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762000" y="704850"/>
              <a:ext cx="2886075" cy="323850"/>
              <a:chOff x="762000" y="704850"/>
              <a:chExt cx="2886075" cy="323850"/>
            </a:xfrm>
          </xdr:grpSpPr>
          <xdr:sp macro="" textlink="">
            <xdr:nvSpPr>
              <xdr:cNvPr id="4097" name="addButton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400-000001100000}"/>
                  </a:ext>
                </a:extLst>
              </xdr:cNvPr>
              <xdr:cNvSpPr/>
            </xdr:nvSpPr>
            <xdr:spPr bwMode="auto">
              <a:xfrm>
                <a:off x="762000" y="704850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098" name="deleteButton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400-000002100000}"/>
                  </a:ext>
                </a:extLst>
              </xdr:cNvPr>
              <xdr:cNvSpPr/>
            </xdr:nvSpPr>
            <xdr:spPr bwMode="auto">
              <a:xfrm>
                <a:off x="2686050" y="704850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099" name="editButton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400-000003100000}"/>
                  </a:ext>
                </a:extLst>
              </xdr:cNvPr>
              <xdr:cNvSpPr/>
            </xdr:nvSpPr>
            <xdr:spPr bwMode="auto">
              <a:xfrm>
                <a:off x="1724025" y="704850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13</xdr:col>
      <xdr:colOff>219600</xdr:colOff>
      <xdr:row>0</xdr:row>
      <xdr:rowOff>518400</xdr:rowOff>
    </xdr:to>
    <xdr:grpSp>
      <xdr:nvGrpSpPr>
        <xdr:cNvPr id="4101" name="Groupe 4100">
          <a:extLst>
            <a:ext uri="{FF2B5EF4-FFF2-40B4-BE49-F238E27FC236}">
              <a16:creationId xmlns:a16="http://schemas.microsoft.com/office/drawing/2014/main" id="{00000000-0008-0000-0400-00000510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4102" name="MenuBar">
            <a:extLst>
              <a:ext uri="{FF2B5EF4-FFF2-40B4-BE49-F238E27FC236}">
                <a16:creationId xmlns:a16="http://schemas.microsoft.com/office/drawing/2014/main" id="{00000000-0008-0000-0400-00000610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4103" name="MenuItem1">
            <a:extLst>
              <a:ext uri="{FF2B5EF4-FFF2-40B4-BE49-F238E27FC236}">
                <a16:creationId xmlns:a16="http://schemas.microsoft.com/office/drawing/2014/main" id="{00000000-0008-0000-0400-00000710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4104" name="MenuItem2">
            <a:extLst>
              <a:ext uri="{FF2B5EF4-FFF2-40B4-BE49-F238E27FC236}">
                <a16:creationId xmlns:a16="http://schemas.microsoft.com/office/drawing/2014/main" id="{00000000-0008-0000-0400-00000810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4105" name="MenuItem3">
            <a:extLst>
              <a:ext uri="{FF2B5EF4-FFF2-40B4-BE49-F238E27FC236}">
                <a16:creationId xmlns:a16="http://schemas.microsoft.com/office/drawing/2014/main" id="{00000000-0008-0000-0400-00000910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4106" name="MenuItem4">
            <a:extLst>
              <a:ext uri="{FF2B5EF4-FFF2-40B4-BE49-F238E27FC236}">
                <a16:creationId xmlns:a16="http://schemas.microsoft.com/office/drawing/2014/main" id="{00000000-0008-0000-0400-00000A10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4107" name="MenuItem5">
            <a:extLst>
              <a:ext uri="{FF2B5EF4-FFF2-40B4-BE49-F238E27FC236}">
                <a16:creationId xmlns:a16="http://schemas.microsoft.com/office/drawing/2014/main" id="{00000000-0008-0000-0400-00000B10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4108" name="MenuItem6">
            <a:extLst>
              <a:ext uri="{FF2B5EF4-FFF2-40B4-BE49-F238E27FC236}">
                <a16:creationId xmlns:a16="http://schemas.microsoft.com/office/drawing/2014/main" id="{00000000-0008-0000-0400-00000C10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4109" name="MenuItem7">
            <a:extLst>
              <a:ext uri="{FF2B5EF4-FFF2-40B4-BE49-F238E27FC236}">
                <a16:creationId xmlns:a16="http://schemas.microsoft.com/office/drawing/2014/main" id="{00000000-0008-0000-0400-00000D10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4110" name="MenuItem8">
            <a:extLst>
              <a:ext uri="{FF2B5EF4-FFF2-40B4-BE49-F238E27FC236}">
                <a16:creationId xmlns:a16="http://schemas.microsoft.com/office/drawing/2014/main" id="{00000000-0008-0000-0400-00000E10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4111" name="MenuItem10">
            <a:extLst>
              <a:ext uri="{FF2B5EF4-FFF2-40B4-BE49-F238E27FC236}">
                <a16:creationId xmlns:a16="http://schemas.microsoft.com/office/drawing/2014/main" id="{00000000-0008-0000-0400-00000F10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4112" name="MenuItem9">
            <a:extLst>
              <a:ext uri="{FF2B5EF4-FFF2-40B4-BE49-F238E27FC236}">
                <a16:creationId xmlns:a16="http://schemas.microsoft.com/office/drawing/2014/main" id="{00000000-0008-0000-0400-00001010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4113" name="Groupe 4112">
            <a:extLst>
              <a:ext uri="{FF2B5EF4-FFF2-40B4-BE49-F238E27FC236}">
                <a16:creationId xmlns:a16="http://schemas.microsoft.com/office/drawing/2014/main" id="{00000000-0008-0000-0400-00001110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4114" name="Rectangle 4113">
              <a:extLs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4115" name="Image 4114">
              <a:extLst>
                <a:ext uri="{FF2B5EF4-FFF2-40B4-BE49-F238E27FC236}">
                  <a16:creationId xmlns:a16="http://schemas.microsoft.com/office/drawing/2014/main" id="{00000000-0008-0000-0400-0000131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4116" name="Image 4115">
              <a:extLst>
                <a:ext uri="{FF2B5EF4-FFF2-40B4-BE49-F238E27FC236}">
                  <a16:creationId xmlns:a16="http://schemas.microsoft.com/office/drawing/2014/main" id="{00000000-0008-0000-0400-0000141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4117" name="UserNameItem">
              <a:extLst>
                <a:ext uri="{FF2B5EF4-FFF2-40B4-BE49-F238E27FC236}">
                  <a16:creationId xmlns:a16="http://schemas.microsoft.com/office/drawing/2014/main" id="{00000000-0008-0000-0400-00001510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3</xdr:col>
      <xdr:colOff>0</xdr:colOff>
      <xdr:row>10</xdr:row>
      <xdr:rowOff>174832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762000" y="1038225"/>
          <a:ext cx="1628775" cy="163215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429150</xdr:colOff>
      <xdr:row>0</xdr:row>
      <xdr:rowOff>518400</xdr:rowOff>
    </xdr:to>
    <xdr:grpSp>
      <xdr:nvGrpSpPr>
        <xdr:cNvPr id="5122" name="Groupe 512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GrpSpPr/>
      </xdr:nvGrpSpPr>
      <xdr:grpSpPr>
        <a:xfrm>
          <a:off x="0" y="0"/>
          <a:ext cx="12597338" cy="518400"/>
          <a:chOff x="0" y="3292"/>
          <a:chExt cx="12564000" cy="518400"/>
        </a:xfrm>
      </xdr:grpSpPr>
      <xdr:sp macro="" textlink="">
        <xdr:nvSpPr>
          <xdr:cNvPr id="5123" name="MenuBar">
            <a:extLst>
              <a:ext uri="{FF2B5EF4-FFF2-40B4-BE49-F238E27FC236}">
                <a16:creationId xmlns:a16="http://schemas.microsoft.com/office/drawing/2014/main" id="{00000000-0008-0000-0500-00000314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5124" name="MenuItem1">
            <a:extLst>
              <a:ext uri="{FF2B5EF4-FFF2-40B4-BE49-F238E27FC236}">
                <a16:creationId xmlns:a16="http://schemas.microsoft.com/office/drawing/2014/main" id="{00000000-0008-0000-0500-00000414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5125" name="MenuItem2">
            <a:extLst>
              <a:ext uri="{FF2B5EF4-FFF2-40B4-BE49-F238E27FC236}">
                <a16:creationId xmlns:a16="http://schemas.microsoft.com/office/drawing/2014/main" id="{00000000-0008-0000-0500-00000514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5126" name="MenuItem3">
            <a:extLst>
              <a:ext uri="{FF2B5EF4-FFF2-40B4-BE49-F238E27FC236}">
                <a16:creationId xmlns:a16="http://schemas.microsoft.com/office/drawing/2014/main" id="{00000000-0008-0000-0500-00000614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5127" name="MenuItem4">
            <a:extLst>
              <a:ext uri="{FF2B5EF4-FFF2-40B4-BE49-F238E27FC236}">
                <a16:creationId xmlns:a16="http://schemas.microsoft.com/office/drawing/2014/main" id="{00000000-0008-0000-0500-00000714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5128" name="MenuItem5">
            <a:extLst>
              <a:ext uri="{FF2B5EF4-FFF2-40B4-BE49-F238E27FC236}">
                <a16:creationId xmlns:a16="http://schemas.microsoft.com/office/drawing/2014/main" id="{00000000-0008-0000-0500-00000814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5129" name="MenuItem6">
            <a:extLst>
              <a:ext uri="{FF2B5EF4-FFF2-40B4-BE49-F238E27FC236}">
                <a16:creationId xmlns:a16="http://schemas.microsoft.com/office/drawing/2014/main" id="{00000000-0008-0000-0500-00000914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5131" name="MenuItem7">
            <a:extLst>
              <a:ext uri="{FF2B5EF4-FFF2-40B4-BE49-F238E27FC236}">
                <a16:creationId xmlns:a16="http://schemas.microsoft.com/office/drawing/2014/main" id="{00000000-0008-0000-0500-00000B14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5132" name="MenuItem8">
            <a:extLst>
              <a:ext uri="{FF2B5EF4-FFF2-40B4-BE49-F238E27FC236}">
                <a16:creationId xmlns:a16="http://schemas.microsoft.com/office/drawing/2014/main" id="{00000000-0008-0000-0500-00000C14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5133" name="MenuItem10">
            <a:extLst>
              <a:ext uri="{FF2B5EF4-FFF2-40B4-BE49-F238E27FC236}">
                <a16:creationId xmlns:a16="http://schemas.microsoft.com/office/drawing/2014/main" id="{00000000-0008-0000-0500-00000D14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5134" name="MenuItem9">
            <a:extLst>
              <a:ext uri="{FF2B5EF4-FFF2-40B4-BE49-F238E27FC236}">
                <a16:creationId xmlns:a16="http://schemas.microsoft.com/office/drawing/2014/main" id="{00000000-0008-0000-0500-00000E14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5135" name="Groupe 5134">
            <a:extLst>
              <a:ext uri="{FF2B5EF4-FFF2-40B4-BE49-F238E27FC236}">
                <a16:creationId xmlns:a16="http://schemas.microsoft.com/office/drawing/2014/main" id="{00000000-0008-0000-0500-00000F14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5136" name="Rectangle 5135">
              <a:extLs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5137" name="Image 5136">
              <a:extLs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5138" name="Image 5137">
              <a:extLs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6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5139" name="UserNameItem">
              <a:extLs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6</xdr:row>
          <xdr:rowOff>0</xdr:rowOff>
        </xdr:from>
        <xdr:to>
          <xdr:col>9</xdr:col>
          <xdr:colOff>333375</xdr:colOff>
          <xdr:row>7</xdr:row>
          <xdr:rowOff>9525</xdr:rowOff>
        </xdr:to>
        <xdr:sp macro="" textlink="">
          <xdr:nvSpPr>
            <xdr:cNvPr id="3" name="showButton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8</xdr:col>
      <xdr:colOff>187789</xdr:colOff>
      <xdr:row>8</xdr:row>
      <xdr:rowOff>21975</xdr:rowOff>
    </xdr:from>
    <xdr:to>
      <xdr:col>9</xdr:col>
      <xdr:colOff>145586</xdr:colOff>
      <xdr:row>10</xdr:row>
      <xdr:rowOff>161925</xdr:rowOff>
    </xdr:to>
    <xdr:pic macro="[0]!dailySaleToPDF"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7769689" y="2193675"/>
          <a:ext cx="719797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6</xdr:row>
          <xdr:rowOff>0</xdr:rowOff>
        </xdr:from>
        <xdr:to>
          <xdr:col>9</xdr:col>
          <xdr:colOff>333375</xdr:colOff>
          <xdr:row>7</xdr:row>
          <xdr:rowOff>9525</xdr:rowOff>
        </xdr:to>
        <xdr:sp macro="" textlink="">
          <xdr:nvSpPr>
            <xdr:cNvPr id="13315" name="showButton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1</xdr:colOff>
      <xdr:row>4</xdr:row>
      <xdr:rowOff>1</xdr:rowOff>
    </xdr:from>
    <xdr:to>
      <xdr:col>3</xdr:col>
      <xdr:colOff>1</xdr:colOff>
      <xdr:row>10</xdr:row>
      <xdr:rowOff>174833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762001" y="762001"/>
          <a:ext cx="1631156" cy="163692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410100</xdr:colOff>
      <xdr:row>0</xdr:row>
      <xdr:rowOff>518400</xdr:rowOff>
    </xdr:to>
    <xdr:grpSp>
      <xdr:nvGrpSpPr>
        <xdr:cNvPr id="13314" name="Groupe 13313">
          <a:extLst>
            <a:ext uri="{FF2B5EF4-FFF2-40B4-BE49-F238E27FC236}">
              <a16:creationId xmlns:a16="http://schemas.microsoft.com/office/drawing/2014/main" id="{00000000-0008-0000-0600-00000234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13316" name="MenuBar">
            <a:extLst>
              <a:ext uri="{FF2B5EF4-FFF2-40B4-BE49-F238E27FC236}">
                <a16:creationId xmlns:a16="http://schemas.microsoft.com/office/drawing/2014/main" id="{00000000-0008-0000-0600-00000434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13317" name="MenuItem1">
            <a:extLst>
              <a:ext uri="{FF2B5EF4-FFF2-40B4-BE49-F238E27FC236}">
                <a16:creationId xmlns:a16="http://schemas.microsoft.com/office/drawing/2014/main" id="{00000000-0008-0000-0600-00000534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13318" name="MenuItem2">
            <a:extLst>
              <a:ext uri="{FF2B5EF4-FFF2-40B4-BE49-F238E27FC236}">
                <a16:creationId xmlns:a16="http://schemas.microsoft.com/office/drawing/2014/main" id="{00000000-0008-0000-0600-00000634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13319" name="MenuItem3">
            <a:extLst>
              <a:ext uri="{FF2B5EF4-FFF2-40B4-BE49-F238E27FC236}">
                <a16:creationId xmlns:a16="http://schemas.microsoft.com/office/drawing/2014/main" id="{00000000-0008-0000-0600-00000734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13320" name="MenuItem4">
            <a:extLst>
              <a:ext uri="{FF2B5EF4-FFF2-40B4-BE49-F238E27FC236}">
                <a16:creationId xmlns:a16="http://schemas.microsoft.com/office/drawing/2014/main" id="{00000000-0008-0000-0600-00000834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13321" name="MenuItem5">
            <a:extLst>
              <a:ext uri="{FF2B5EF4-FFF2-40B4-BE49-F238E27FC236}">
                <a16:creationId xmlns:a16="http://schemas.microsoft.com/office/drawing/2014/main" id="{00000000-0008-0000-0600-00000934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13322" name="MenuItem6">
            <a:extLst>
              <a:ext uri="{FF2B5EF4-FFF2-40B4-BE49-F238E27FC236}">
                <a16:creationId xmlns:a16="http://schemas.microsoft.com/office/drawing/2014/main" id="{00000000-0008-0000-0600-00000A34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13323" name="MenuItem7">
            <a:extLst>
              <a:ext uri="{FF2B5EF4-FFF2-40B4-BE49-F238E27FC236}">
                <a16:creationId xmlns:a16="http://schemas.microsoft.com/office/drawing/2014/main" id="{00000000-0008-0000-0600-00000B34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13324" name="MenuItem8">
            <a:extLst>
              <a:ext uri="{FF2B5EF4-FFF2-40B4-BE49-F238E27FC236}">
                <a16:creationId xmlns:a16="http://schemas.microsoft.com/office/drawing/2014/main" id="{00000000-0008-0000-0600-00000C34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13325" name="MenuItem10">
            <a:extLst>
              <a:ext uri="{FF2B5EF4-FFF2-40B4-BE49-F238E27FC236}">
                <a16:creationId xmlns:a16="http://schemas.microsoft.com/office/drawing/2014/main" id="{00000000-0008-0000-0600-00000D34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13326" name="MenuItem9">
            <a:extLst>
              <a:ext uri="{FF2B5EF4-FFF2-40B4-BE49-F238E27FC236}">
                <a16:creationId xmlns:a16="http://schemas.microsoft.com/office/drawing/2014/main" id="{00000000-0008-0000-0600-00000E34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13327" name="Groupe 13326">
            <a:extLst>
              <a:ext uri="{FF2B5EF4-FFF2-40B4-BE49-F238E27FC236}">
                <a16:creationId xmlns:a16="http://schemas.microsoft.com/office/drawing/2014/main" id="{00000000-0008-0000-0600-00000F34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13328" name="Rectangle 13327">
              <a:extLst>
                <a:ext uri="{FF2B5EF4-FFF2-40B4-BE49-F238E27FC236}">
                  <a16:creationId xmlns:a16="http://schemas.microsoft.com/office/drawing/2014/main" id="{00000000-0008-0000-0600-00001034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13329" name="Image 13328">
              <a:extLst>
                <a:ext uri="{FF2B5EF4-FFF2-40B4-BE49-F238E27FC236}">
                  <a16:creationId xmlns:a16="http://schemas.microsoft.com/office/drawing/2014/main" id="{00000000-0008-0000-0600-0000113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13330" name="Image 13329">
              <a:extLst>
                <a:ext uri="{FF2B5EF4-FFF2-40B4-BE49-F238E27FC236}">
                  <a16:creationId xmlns:a16="http://schemas.microsoft.com/office/drawing/2014/main" id="{00000000-0008-0000-0600-0000123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6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13331" name="UserNameItem">
              <a:extLst>
                <a:ext uri="{FF2B5EF4-FFF2-40B4-BE49-F238E27FC236}">
                  <a16:creationId xmlns:a16="http://schemas.microsoft.com/office/drawing/2014/main" id="{00000000-0008-0000-0600-00001334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  <xdr:twoCellAnchor editAs="oneCell">
    <xdr:from>
      <xdr:col>8</xdr:col>
      <xdr:colOff>187789</xdr:colOff>
      <xdr:row>8</xdr:row>
      <xdr:rowOff>21975</xdr:rowOff>
    </xdr:from>
    <xdr:to>
      <xdr:col>9</xdr:col>
      <xdr:colOff>145586</xdr:colOff>
      <xdr:row>10</xdr:row>
      <xdr:rowOff>161925</xdr:rowOff>
    </xdr:to>
    <xdr:pic macro="[0]!monthlySaleToPDF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7769689" y="2193675"/>
          <a:ext cx="719797" cy="54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191025</xdr:colOff>
      <xdr:row>0</xdr:row>
      <xdr:rowOff>518400</xdr:rowOff>
    </xdr:to>
    <xdr:grpSp>
      <xdr:nvGrpSpPr>
        <xdr:cNvPr id="7170" name="Groupe 7169">
          <a:extLst>
            <a:ext uri="{FF2B5EF4-FFF2-40B4-BE49-F238E27FC236}">
              <a16:creationId xmlns:a16="http://schemas.microsoft.com/office/drawing/2014/main" id="{00000000-0008-0000-0700-0000021C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7171" name="MenuBar">
            <a:extLst>
              <a:ext uri="{FF2B5EF4-FFF2-40B4-BE49-F238E27FC236}">
                <a16:creationId xmlns:a16="http://schemas.microsoft.com/office/drawing/2014/main" id="{00000000-0008-0000-0700-0000031C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7172" name="MenuItem1">
            <a:extLst>
              <a:ext uri="{FF2B5EF4-FFF2-40B4-BE49-F238E27FC236}">
                <a16:creationId xmlns:a16="http://schemas.microsoft.com/office/drawing/2014/main" id="{00000000-0008-0000-0700-0000041C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7173" name="MenuItem2">
            <a:extLst>
              <a:ext uri="{FF2B5EF4-FFF2-40B4-BE49-F238E27FC236}">
                <a16:creationId xmlns:a16="http://schemas.microsoft.com/office/drawing/2014/main" id="{00000000-0008-0000-0700-0000051C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7174" name="MenuItem3">
            <a:extLst>
              <a:ext uri="{FF2B5EF4-FFF2-40B4-BE49-F238E27FC236}">
                <a16:creationId xmlns:a16="http://schemas.microsoft.com/office/drawing/2014/main" id="{00000000-0008-0000-0700-0000061C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7175" name="MenuItem4">
            <a:extLst>
              <a:ext uri="{FF2B5EF4-FFF2-40B4-BE49-F238E27FC236}">
                <a16:creationId xmlns:a16="http://schemas.microsoft.com/office/drawing/2014/main" id="{00000000-0008-0000-0700-0000071C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7176" name="MenuItem5">
            <a:extLst>
              <a:ext uri="{FF2B5EF4-FFF2-40B4-BE49-F238E27FC236}">
                <a16:creationId xmlns:a16="http://schemas.microsoft.com/office/drawing/2014/main" id="{00000000-0008-0000-0700-0000081C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7177" name="MenuItem6">
            <a:extLst>
              <a:ext uri="{FF2B5EF4-FFF2-40B4-BE49-F238E27FC236}">
                <a16:creationId xmlns:a16="http://schemas.microsoft.com/office/drawing/2014/main" id="{00000000-0008-0000-0700-0000091C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7178" name="MenuItem7">
            <a:extLst>
              <a:ext uri="{FF2B5EF4-FFF2-40B4-BE49-F238E27FC236}">
                <a16:creationId xmlns:a16="http://schemas.microsoft.com/office/drawing/2014/main" id="{00000000-0008-0000-0700-00000A1C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7179" name="MenuItem8">
            <a:extLst>
              <a:ext uri="{FF2B5EF4-FFF2-40B4-BE49-F238E27FC236}">
                <a16:creationId xmlns:a16="http://schemas.microsoft.com/office/drawing/2014/main" id="{00000000-0008-0000-0700-00000B1C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7180" name="MenuItem10">
            <a:extLst>
              <a:ext uri="{FF2B5EF4-FFF2-40B4-BE49-F238E27FC236}">
                <a16:creationId xmlns:a16="http://schemas.microsoft.com/office/drawing/2014/main" id="{00000000-0008-0000-0700-00000C1C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7181" name="MenuItem9">
            <a:extLst>
              <a:ext uri="{FF2B5EF4-FFF2-40B4-BE49-F238E27FC236}">
                <a16:creationId xmlns:a16="http://schemas.microsoft.com/office/drawing/2014/main" id="{00000000-0008-0000-0700-00000D1C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7182" name="Groupe 7181">
            <a:extLst>
              <a:ext uri="{FF2B5EF4-FFF2-40B4-BE49-F238E27FC236}">
                <a16:creationId xmlns:a16="http://schemas.microsoft.com/office/drawing/2014/main" id="{00000000-0008-0000-0700-00000E1C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7183" name="Rectangle 7182">
              <a:extLst>
                <a:ext uri="{FF2B5EF4-FFF2-40B4-BE49-F238E27FC236}">
                  <a16:creationId xmlns:a16="http://schemas.microsoft.com/office/drawing/2014/main" id="{00000000-0008-0000-0700-00000F1C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7184" name="Image 7183">
              <a:extLst>
                <a:ext uri="{FF2B5EF4-FFF2-40B4-BE49-F238E27FC236}">
                  <a16:creationId xmlns:a16="http://schemas.microsoft.com/office/drawing/2014/main" id="{00000000-0008-0000-0700-0000101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7185" name="Image 7184">
              <a:extLs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7186" name="UserNameItem">
              <a:extLs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4</xdr:col>
          <xdr:colOff>857250</xdr:colOff>
          <xdr:row>3</xdr:row>
          <xdr:rowOff>19050</xdr:rowOff>
        </xdr:to>
        <xdr:grpSp>
          <xdr:nvGrpSpPr>
            <xdr:cNvPr id="5" name="Groupe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pSpPr/>
          </xdr:nvGrpSpPr>
          <xdr:grpSpPr>
            <a:xfrm>
              <a:off x="762000" y="733425"/>
              <a:ext cx="3819525" cy="323850"/>
              <a:chOff x="762000" y="733425"/>
              <a:chExt cx="3819525" cy="323850"/>
            </a:xfrm>
          </xdr:grpSpPr>
          <xdr:sp macro="" textlink="">
            <xdr:nvSpPr>
              <xdr:cNvPr id="7169" name="addButton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762000" y="73342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" name="editButton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700-000002000000}"/>
                  </a:ext>
                </a:extLst>
              </xdr:cNvPr>
              <xdr:cNvSpPr/>
            </xdr:nvSpPr>
            <xdr:spPr bwMode="auto">
              <a:xfrm>
                <a:off x="1714500" y="73342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" name="delet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000000}"/>
                  </a:ext>
                </a:extLst>
              </xdr:cNvPr>
              <xdr:cNvSpPr/>
            </xdr:nvSpPr>
            <xdr:spPr bwMode="auto">
              <a:xfrm>
                <a:off x="2667000" y="73342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" name="execute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700-000004000000}"/>
                  </a:ext>
                </a:extLst>
              </xdr:cNvPr>
              <xdr:cNvSpPr/>
            </xdr:nvSpPr>
            <xdr:spPr bwMode="auto">
              <a:xfrm>
                <a:off x="3619500" y="733425"/>
                <a:ext cx="962025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2</xdr:col>
      <xdr:colOff>1047750</xdr:colOff>
      <xdr:row>10</xdr:row>
      <xdr:rowOff>155782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762000" y="1038225"/>
          <a:ext cx="1628775" cy="163215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419625</xdr:colOff>
      <xdr:row>0</xdr:row>
      <xdr:rowOff>518400</xdr:rowOff>
    </xdr:to>
    <xdr:grpSp>
      <xdr:nvGrpSpPr>
        <xdr:cNvPr id="6146" name="Groupe 6145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6147" name="MenuBar">
            <a:extLst>
              <a:ext uri="{FF2B5EF4-FFF2-40B4-BE49-F238E27FC236}">
                <a16:creationId xmlns:a16="http://schemas.microsoft.com/office/drawing/2014/main" id="{00000000-0008-0000-0800-00000318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6148" name="MenuItem1">
            <a:extLst>
              <a:ext uri="{FF2B5EF4-FFF2-40B4-BE49-F238E27FC236}">
                <a16:creationId xmlns:a16="http://schemas.microsoft.com/office/drawing/2014/main" id="{00000000-0008-0000-0800-00000418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6149" name="MenuItem2">
            <a:extLst>
              <a:ext uri="{FF2B5EF4-FFF2-40B4-BE49-F238E27FC236}">
                <a16:creationId xmlns:a16="http://schemas.microsoft.com/office/drawing/2014/main" id="{00000000-0008-0000-0800-00000518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6150" name="MenuItem3">
            <a:extLst>
              <a:ext uri="{FF2B5EF4-FFF2-40B4-BE49-F238E27FC236}">
                <a16:creationId xmlns:a16="http://schemas.microsoft.com/office/drawing/2014/main" id="{00000000-0008-0000-0800-00000618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6151" name="MenuItem4">
            <a:extLst>
              <a:ext uri="{FF2B5EF4-FFF2-40B4-BE49-F238E27FC236}">
                <a16:creationId xmlns:a16="http://schemas.microsoft.com/office/drawing/2014/main" id="{00000000-0008-0000-0800-00000718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6153" name="MenuItem5">
            <a:extLst>
              <a:ext uri="{FF2B5EF4-FFF2-40B4-BE49-F238E27FC236}">
                <a16:creationId xmlns:a16="http://schemas.microsoft.com/office/drawing/2014/main" id="{00000000-0008-0000-0800-00000918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6154" name="MenuItem6">
            <a:extLst>
              <a:ext uri="{FF2B5EF4-FFF2-40B4-BE49-F238E27FC236}">
                <a16:creationId xmlns:a16="http://schemas.microsoft.com/office/drawing/2014/main" id="{00000000-0008-0000-0800-00000A18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6155" name="MenuItem7">
            <a:extLst>
              <a:ext uri="{FF2B5EF4-FFF2-40B4-BE49-F238E27FC236}">
                <a16:creationId xmlns:a16="http://schemas.microsoft.com/office/drawing/2014/main" id="{00000000-0008-0000-0800-00000B18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6156" name="MenuItem8">
            <a:extLst>
              <a:ext uri="{FF2B5EF4-FFF2-40B4-BE49-F238E27FC236}">
                <a16:creationId xmlns:a16="http://schemas.microsoft.com/office/drawing/2014/main" id="{00000000-0008-0000-0800-00000C18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6157" name="MenuItem10">
            <a:extLst>
              <a:ext uri="{FF2B5EF4-FFF2-40B4-BE49-F238E27FC236}">
                <a16:creationId xmlns:a16="http://schemas.microsoft.com/office/drawing/2014/main" id="{00000000-0008-0000-0800-00000D18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6158" name="MenuItem9">
            <a:extLst>
              <a:ext uri="{FF2B5EF4-FFF2-40B4-BE49-F238E27FC236}">
                <a16:creationId xmlns:a16="http://schemas.microsoft.com/office/drawing/2014/main" id="{00000000-0008-0000-0800-00000E18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6159" name="Groupe 6158">
            <a:extLst>
              <a:ext uri="{FF2B5EF4-FFF2-40B4-BE49-F238E27FC236}">
                <a16:creationId xmlns:a16="http://schemas.microsoft.com/office/drawing/2014/main" id="{00000000-0008-0000-0800-00000F18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6160" name="Rectangle 6159">
              <a:extLst>
                <a:ext uri="{FF2B5EF4-FFF2-40B4-BE49-F238E27FC236}">
                  <a16:creationId xmlns:a16="http://schemas.microsoft.com/office/drawing/2014/main" id="{00000000-0008-0000-0800-00001018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6161" name="Image 6160">
              <a:extLst>
                <a:ext uri="{FF2B5EF4-FFF2-40B4-BE49-F238E27FC236}">
                  <a16:creationId xmlns:a16="http://schemas.microsoft.com/office/drawing/2014/main" id="{00000000-0008-0000-0800-0000111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6162" name="Image 6161">
              <a:extLst>
                <a:ext uri="{FF2B5EF4-FFF2-40B4-BE49-F238E27FC236}">
                  <a16:creationId xmlns:a16="http://schemas.microsoft.com/office/drawing/2014/main" id="{00000000-0008-0000-0800-0000121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6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6163" name="UserNameItem">
              <a:extLst>
                <a:ext uri="{FF2B5EF4-FFF2-40B4-BE49-F238E27FC236}">
                  <a16:creationId xmlns:a16="http://schemas.microsoft.com/office/drawing/2014/main" id="{00000000-0008-0000-0800-00001318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6</xdr:row>
          <xdr:rowOff>0</xdr:rowOff>
        </xdr:from>
        <xdr:to>
          <xdr:col>9</xdr:col>
          <xdr:colOff>333375</xdr:colOff>
          <xdr:row>7</xdr:row>
          <xdr:rowOff>19050</xdr:rowOff>
        </xdr:to>
        <xdr:sp macro="" textlink="">
          <xdr:nvSpPr>
            <xdr:cNvPr id="3" name="showButton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8</xdr:col>
      <xdr:colOff>187789</xdr:colOff>
      <xdr:row>8</xdr:row>
      <xdr:rowOff>79125</xdr:rowOff>
    </xdr:from>
    <xdr:to>
      <xdr:col>9</xdr:col>
      <xdr:colOff>145586</xdr:colOff>
      <xdr:row>10</xdr:row>
      <xdr:rowOff>142875</xdr:rowOff>
    </xdr:to>
    <xdr:pic macro="[0]!purchaseOrderToPDF"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7760164" y="2193675"/>
          <a:ext cx="719797" cy="5400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410100</xdr:colOff>
      <xdr:row>0</xdr:row>
      <xdr:rowOff>518400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34" name="MenuBar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35" name="MenuItem1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36" name="MenuItem2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37" name="MenuItem3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38" name="MenuItem4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39" name="MenuItem5">
            <a:extLst>
              <a:ext uri="{FF2B5EF4-FFF2-40B4-BE49-F238E27FC236}">
                <a16:creationId xmlns:a16="http://schemas.microsoft.com/office/drawing/2014/main" id="{00000000-0008-0000-0900-00002700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40" name="MenuItem6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41" name="MenuItem7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42" name="MenuItem8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43" name="MenuItem10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44" name="MenuItem9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45" name="Groupe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46" name="Rectangle 45">
              <a:extLst>
                <a:ext uri="{FF2B5EF4-FFF2-40B4-BE49-F238E27FC236}">
                  <a16:creationId xmlns:a16="http://schemas.microsoft.com/office/drawing/2014/main" id="{00000000-0008-0000-0900-00002E00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47" name="Image 46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48" name="Image 47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49" name="UserNameItem">
              <a:extLst>
                <a:ext uri="{FF2B5EF4-FFF2-40B4-BE49-F238E27FC236}">
                  <a16:creationId xmlns:a16="http://schemas.microsoft.com/office/drawing/2014/main" id="{00000000-0008-0000-0900-00003100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  <xdr:twoCellAnchor editAs="oneCell">
    <xdr:from>
      <xdr:col>1</xdr:col>
      <xdr:colOff>0</xdr:colOff>
      <xdr:row>4</xdr:row>
      <xdr:rowOff>0</xdr:rowOff>
    </xdr:from>
    <xdr:to>
      <xdr:col>3</xdr:col>
      <xdr:colOff>0</xdr:colOff>
      <xdr:row>10</xdr:row>
      <xdr:rowOff>174832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62000" y="1114425"/>
          <a:ext cx="1628775" cy="1632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6</xdr:row>
          <xdr:rowOff>0</xdr:rowOff>
        </xdr:from>
        <xdr:to>
          <xdr:col>9</xdr:col>
          <xdr:colOff>333375</xdr:colOff>
          <xdr:row>7</xdr:row>
          <xdr:rowOff>9525</xdr:rowOff>
        </xdr:to>
        <xdr:sp macro="" textlink="">
          <xdr:nvSpPr>
            <xdr:cNvPr id="28674" name="showButton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9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8</xdr:col>
      <xdr:colOff>187789</xdr:colOff>
      <xdr:row>8</xdr:row>
      <xdr:rowOff>19050</xdr:rowOff>
    </xdr:from>
    <xdr:to>
      <xdr:col>9</xdr:col>
      <xdr:colOff>145586</xdr:colOff>
      <xdr:row>10</xdr:row>
      <xdr:rowOff>159000</xdr:rowOff>
    </xdr:to>
    <xdr:pic macro="[0]!yearlyBalanceSheetToPDF">
      <xdr:nvPicPr>
        <xdr:cNvPr id="4" name="Imag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7769689" y="2190750"/>
          <a:ext cx="719797" cy="5400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171975</xdr:colOff>
      <xdr:row>0</xdr:row>
      <xdr:rowOff>518400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0" y="0"/>
          <a:ext cx="12564000" cy="518400"/>
          <a:chOff x="0" y="3292"/>
          <a:chExt cx="12564000" cy="518400"/>
        </a:xfrm>
      </xdr:grpSpPr>
      <xdr:sp macro="" textlink="">
        <xdr:nvSpPr>
          <xdr:cNvPr id="20" name="MenuBar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SpPr/>
        </xdr:nvSpPr>
        <xdr:spPr>
          <a:xfrm>
            <a:off x="0" y="3680"/>
            <a:ext cx="12564000" cy="517624"/>
          </a:xfrm>
          <a:prstGeom prst="rect">
            <a:avLst/>
          </a:prstGeom>
          <a:solidFill>
            <a:srgbClr val="2C3E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enuItem1" textlink="Paramètres!$C$6">
        <xdr:nvSpPr>
          <xdr:cNvPr id="21" name="MenuItem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/>
        </xdr:nvSpPr>
        <xdr:spPr>
          <a:xfrm>
            <a:off x="95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114D5B-6158-469D-808D-C8E531EB7CD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Accueil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2" textlink="Paramètres!$C$7">
        <xdr:nvSpPr>
          <xdr:cNvPr id="22" name="MenuItem2">
            <a:extLst>
              <a:ext uri="{FF2B5EF4-FFF2-40B4-BE49-F238E27FC236}">
                <a16:creationId xmlns:a16="http://schemas.microsoft.com/office/drawing/2014/main" id="{00000000-0008-0000-0A00-000016000000}"/>
              </a:ext>
            </a:extLst>
          </xdr:cNvPr>
          <xdr:cNvSpPr/>
        </xdr:nvSpPr>
        <xdr:spPr>
          <a:xfrm>
            <a:off x="10191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39B001-7EFB-4577-BE02-8D186D2A7AB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Catégorie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3" textlink="Paramètres!$C$8">
        <xdr:nvSpPr>
          <xdr:cNvPr id="23" name="MenuItem3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20288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8017D-0B0E-49E7-A410-01D9B3AD4C33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Article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4" textlink="Paramètres!$C$9">
        <xdr:nvSpPr>
          <xdr:cNvPr id="24" name="MenuItem4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/>
        </xdr:nvSpPr>
        <xdr:spPr>
          <a:xfrm>
            <a:off x="303847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47A981-0519-417C-B118-936C9EB8A072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5" textlink="Paramètres!$C$10">
        <xdr:nvSpPr>
          <xdr:cNvPr id="25" name="MenuItem5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/>
        </xdr:nvSpPr>
        <xdr:spPr>
          <a:xfrm>
            <a:off x="4051303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algn="ctr"/>
            <a:fld id="{5A96115D-AABC-47B0-9FF0-5402B1A36AF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Jour.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6" textlink="Paramètres!$C$11">
        <xdr:nvSpPr>
          <xdr:cNvPr id="26" name="MenuItem6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/>
        </xdr:nvSpPr>
        <xdr:spPr>
          <a:xfrm>
            <a:off x="5054101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5FB0DCED-5811-4DB0-8FA5-E266276CD854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Vente Mens.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7" textlink="Paramètres!$C$12">
        <xdr:nvSpPr>
          <xdr:cNvPr id="41" name="MenuItem7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/>
        </xdr:nvSpPr>
        <xdr:spPr>
          <a:xfrm>
            <a:off x="6058958" y="5092"/>
            <a:ext cx="1080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F535097B-B08F-452D-AF88-17A6E8467F6A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 panose="02020603050405020304" pitchFamily="18" charset="0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  <a:cs typeface="Times New Roman" panose="02020603050405020304" pitchFamily="18" charset="0"/>
            </a:endParaRPr>
          </a:p>
        </xdr:txBody>
      </xdr:sp>
      <xdr:sp macro="[0]!MenuItem8" textlink="Paramètres!$C$13">
        <xdr:nvSpPr>
          <xdr:cNvPr id="42" name="MenuItem8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/>
        </xdr:nvSpPr>
        <xdr:spPr>
          <a:xfrm>
            <a:off x="7134226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fld id="{39FBD7B5-6FB3-4609-87DB-DB4F5F2BE966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Bon de Com.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10" textlink="Paramètres!$C$15">
        <xdr:nvSpPr>
          <xdr:cNvPr id="43" name="MenuItem10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/>
        </xdr:nvSpPr>
        <xdr:spPr>
          <a:xfrm>
            <a:off x="9144001" y="5092"/>
            <a:ext cx="1008000" cy="514800"/>
          </a:xfrm>
          <a:prstGeom prst="round2DiagRect">
            <a:avLst/>
          </a:prstGeom>
          <a:solidFill>
            <a:srgbClr val="F5671B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608BB6-60E6-439C-BF19-7A7A0999DBED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Paramètre</a:t>
            </a:fld>
            <a:endParaRPr lang="fr-FR" sz="11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sp macro="[0]!MenuItem9" textlink="Paramètres!$C$14">
        <xdr:nvSpPr>
          <xdr:cNvPr id="44" name="MenuItem9">
            <a:extLst>
              <a:ext uri="{FF2B5EF4-FFF2-40B4-BE49-F238E27FC236}">
                <a16:creationId xmlns:a16="http://schemas.microsoft.com/office/drawing/2014/main" id="{00000000-0008-0000-0A00-00002C000000}"/>
              </a:ext>
            </a:extLst>
          </xdr:cNvPr>
          <xdr:cNvSpPr/>
        </xdr:nvSpPr>
        <xdr:spPr>
          <a:xfrm>
            <a:off x="8140724" y="5092"/>
            <a:ext cx="1008000" cy="514800"/>
          </a:xfrm>
          <a:prstGeom prst="round2Diag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F6F909-EBAD-4FF8-8094-12CB06046109}" type="TxLink">
              <a:rPr lang="en-US" sz="1100" b="1" i="0" u="none" strike="noStrike">
                <a:solidFill>
                  <a:schemeClr val="bg1"/>
                </a:solidFill>
                <a:latin typeface="Georgia" panose="02040502050405020303" pitchFamily="18" charset="0"/>
                <a:cs typeface="Times New Roman"/>
              </a:rPr>
              <a:pPr algn="ctr"/>
              <a:t>Bilan Annuel</a:t>
            </a:fld>
            <a:endParaRPr lang="fr-FR" sz="105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grpSp>
        <xdr:nvGrpSpPr>
          <xdr:cNvPr id="45" name="Groupe 44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GrpSpPr/>
        </xdr:nvGrpSpPr>
        <xdr:grpSpPr>
          <a:xfrm>
            <a:off x="10163175" y="3292"/>
            <a:ext cx="2016000" cy="518400"/>
            <a:chOff x="10163175" y="0"/>
            <a:chExt cx="2016000" cy="518400"/>
          </a:xfrm>
        </xdr:grpSpPr>
        <xdr:sp macro="" textlink="">
          <xdr:nvSpPr>
            <xdr:cNvPr id="46" name="Rectangle 45">
              <a:extLst>
                <a:ext uri="{FF2B5EF4-FFF2-40B4-BE49-F238E27FC236}">
                  <a16:creationId xmlns:a16="http://schemas.microsoft.com/office/drawing/2014/main" id="{00000000-0008-0000-0A00-00002E000000}"/>
                </a:ext>
              </a:extLst>
            </xdr:cNvPr>
            <xdr:cNvSpPr/>
          </xdr:nvSpPr>
          <xdr:spPr>
            <a:xfrm>
              <a:off x="10163175" y="0"/>
              <a:ext cx="2016000" cy="514800"/>
            </a:xfrm>
            <a:prstGeom prst="rect">
              <a:avLst/>
            </a:prstGeom>
            <a:noFill/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 macro="[0]!logout">
          <xdr:nvPicPr>
            <xdr:cNvPr id="47" name="Image 46">
              <a:extLst>
                <a:ext uri="{FF2B5EF4-FFF2-40B4-BE49-F238E27FC236}">
                  <a16:creationId xmlns:a16="http://schemas.microsoft.com/office/drawing/2014/main" id="{00000000-0008-0000-0A00-00002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11391900" y="12864"/>
              <a:ext cx="476250" cy="492673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pic>
          <xdr:nvPicPr>
            <xdr:cNvPr id="48" name="Image 47">
              <a:extLst>
                <a:ext uri="{FF2B5EF4-FFF2-40B4-BE49-F238E27FC236}">
                  <a16:creationId xmlns:a16="http://schemas.microsoft.com/office/drawing/2014/main" id="{00000000-0008-0000-0A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10245315" y="0"/>
              <a:ext cx="336960" cy="518400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</xdr:pic>
        <xdr:sp macro="" textlink="Paramètres!$H$55">
          <xdr:nvSpPr>
            <xdr:cNvPr id="49" name="UserNameItem">
              <a:extLst>
                <a:ext uri="{FF2B5EF4-FFF2-40B4-BE49-F238E27FC236}">
                  <a16:creationId xmlns:a16="http://schemas.microsoft.com/office/drawing/2014/main" id="{00000000-0008-0000-0A00-000031000000}"/>
                </a:ext>
              </a:extLst>
            </xdr:cNvPr>
            <xdr:cNvSpPr/>
          </xdr:nvSpPr>
          <xdr:spPr>
            <a:xfrm>
              <a:off x="10563224" y="133200"/>
              <a:ext cx="828000" cy="252000"/>
            </a:xfrm>
            <a:prstGeom prst="flowChartTerminator">
              <a:avLst/>
            </a:prstGeom>
            <a:noFill/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AA49EBB-8681-4A25-868D-3DE1B677FE1E}" type="TxLink">
                <a:rPr lang="en-US" sz="1100" b="1" i="1" u="none" strike="noStrike">
                  <a:solidFill>
                    <a:schemeClr val="bg1"/>
                  </a:solidFill>
                  <a:latin typeface="Georgia" panose="02040502050405020303" pitchFamily="18" charset="0"/>
                  <a:cs typeface="Times New Roman"/>
                </a:rPr>
                <a:pPr algn="ctr"/>
                <a:t>mialy</a:t>
              </a:fld>
              <a:endParaRPr lang="fr-FR" sz="1100" b="1" i="1">
                <a:solidFill>
                  <a:schemeClr val="bg1"/>
                </a:solidFill>
                <a:latin typeface="Georgia" panose="02040502050405020303" pitchFamily="18" charset="0"/>
              </a:endParaRPr>
            </a:p>
          </xdr:txBody>
        </xdr:sp>
      </xdr:grpSp>
    </xdr:grpSp>
    <xdr:clientData/>
  </xdr:twoCellAnchor>
  <xdr:twoCellAnchor>
    <xdr:from>
      <xdr:col>7</xdr:col>
      <xdr:colOff>247650</xdr:colOff>
      <xdr:row>4</xdr:row>
      <xdr:rowOff>138112</xdr:rowOff>
    </xdr:from>
    <xdr:to>
      <xdr:col>9</xdr:col>
      <xdr:colOff>360000</xdr:colOff>
      <xdr:row>8</xdr:row>
      <xdr:rowOff>64725</xdr:rowOff>
    </xdr:to>
    <xdr:grpSp>
      <xdr:nvGrpSpPr>
        <xdr:cNvPr id="84" name="Groupe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GrpSpPr/>
      </xdr:nvGrpSpPr>
      <xdr:grpSpPr>
        <a:xfrm>
          <a:off x="7781925" y="1300162"/>
          <a:ext cx="1922100" cy="812438"/>
          <a:chOff x="7715250" y="1300162"/>
          <a:chExt cx="1922100" cy="812438"/>
        </a:xfrm>
      </xdr:grpSpPr>
      <xdr:grpSp>
        <xdr:nvGrpSpPr>
          <xdr:cNvPr id="77" name="Groupe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GrpSpPr/>
        </xdr:nvGrpSpPr>
        <xdr:grpSpPr>
          <a:xfrm>
            <a:off x="7715250" y="1300162"/>
            <a:ext cx="1922100" cy="360000"/>
            <a:chOff x="7724775" y="1300162"/>
            <a:chExt cx="1922100" cy="360000"/>
          </a:xfrm>
        </xdr:grpSpPr>
        <xdr:grpSp>
          <xdr:nvGrpSpPr>
            <xdr:cNvPr id="72" name="Groupe 71">
              <a:extLst>
                <a:ext uri="{FF2B5EF4-FFF2-40B4-BE49-F238E27FC236}">
                  <a16:creationId xmlns:a16="http://schemas.microsoft.com/office/drawing/2014/main" id="{00000000-0008-0000-0A00-000048000000}"/>
                </a:ext>
              </a:extLst>
            </xdr:cNvPr>
            <xdr:cNvGrpSpPr/>
          </xdr:nvGrpSpPr>
          <xdr:grpSpPr>
            <a:xfrm>
              <a:off x="7724775" y="1300162"/>
              <a:ext cx="360000" cy="360000"/>
              <a:chOff x="8601075" y="1190625"/>
              <a:chExt cx="360000" cy="360000"/>
            </a:xfrm>
          </xdr:grpSpPr>
          <xdr:sp macro="[0]!menuBar_c1" textlink="">
            <xdr:nvSpPr>
              <xdr:cNvPr id="50" name="MenuBarC1">
                <a:extLst>
                  <a:ext uri="{FF2B5EF4-FFF2-40B4-BE49-F238E27FC236}">
                    <a16:creationId xmlns:a16="http://schemas.microsoft.com/office/drawing/2014/main" id="{00000000-0008-0000-0A00-000032000000}"/>
                  </a:ext>
                </a:extLst>
              </xdr:cNvPr>
              <xdr:cNvSpPr/>
            </xdr:nvSpPr>
            <xdr:spPr>
              <a:xfrm>
                <a:off x="8667675" y="1257225"/>
                <a:ext cx="226800" cy="226800"/>
              </a:xfrm>
              <a:prstGeom prst="ellipse">
                <a:avLst/>
              </a:prstGeom>
              <a:solidFill>
                <a:schemeClr val="tx1"/>
              </a:solidFill>
              <a:ln w="38100"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7" name="MenuBarC1Border">
                <a:extLst>
                  <a:ext uri="{FF2B5EF4-FFF2-40B4-BE49-F238E27FC236}">
                    <a16:creationId xmlns:a16="http://schemas.microsoft.com/office/drawing/2014/main" id="{00000000-0008-0000-0A00-000039000000}"/>
                  </a:ext>
                </a:extLst>
              </xdr:cNvPr>
              <xdr:cNvSpPr/>
            </xdr:nvSpPr>
            <xdr:spPr>
              <a:xfrm>
                <a:off x="8601075" y="1190625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73" name="Groupe 72">
              <a:extLst>
                <a:ext uri="{FF2B5EF4-FFF2-40B4-BE49-F238E27FC236}">
                  <a16:creationId xmlns:a16="http://schemas.microsoft.com/office/drawing/2014/main" id="{00000000-0008-0000-0A00-000049000000}"/>
                </a:ext>
              </a:extLst>
            </xdr:cNvPr>
            <xdr:cNvGrpSpPr/>
          </xdr:nvGrpSpPr>
          <xdr:grpSpPr>
            <a:xfrm>
              <a:off x="8115300" y="1300162"/>
              <a:ext cx="360000" cy="360000"/>
              <a:chOff x="9439275" y="1181100"/>
              <a:chExt cx="360000" cy="360000"/>
            </a:xfrm>
          </xdr:grpSpPr>
          <xdr:sp macro="[0]!menuBar_c2" textlink="">
            <xdr:nvSpPr>
              <xdr:cNvPr id="52" name="MenuBarC2">
                <a:extLst>
                  <a:ext uri="{FF2B5EF4-FFF2-40B4-BE49-F238E27FC236}">
                    <a16:creationId xmlns:a16="http://schemas.microsoft.com/office/drawing/2014/main" id="{00000000-0008-0000-0A00-000034000000}"/>
                  </a:ext>
                </a:extLst>
              </xdr:cNvPr>
              <xdr:cNvSpPr/>
            </xdr:nvSpPr>
            <xdr:spPr>
              <a:xfrm>
                <a:off x="9505875" y="1247700"/>
                <a:ext cx="226800" cy="226800"/>
              </a:xfrm>
              <a:prstGeom prst="ellipse">
                <a:avLst/>
              </a:prstGeom>
              <a:solidFill>
                <a:srgbClr val="2C3E50"/>
              </a:solidFill>
              <a:ln w="38100"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8" name="MenuBarC2Border">
                <a:extLst>
                  <a:ext uri="{FF2B5EF4-FFF2-40B4-BE49-F238E27FC236}">
                    <a16:creationId xmlns:a16="http://schemas.microsoft.com/office/drawing/2014/main" id="{00000000-0008-0000-0A00-00003A000000}"/>
                  </a:ext>
                </a:extLst>
              </xdr:cNvPr>
              <xdr:cNvSpPr/>
            </xdr:nvSpPr>
            <xdr:spPr>
              <a:xfrm>
                <a:off x="9439275" y="1181100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74" name="Groupe 73">
              <a:extLst>
                <a:ext uri="{FF2B5EF4-FFF2-40B4-BE49-F238E27FC236}">
                  <a16:creationId xmlns:a16="http://schemas.microsoft.com/office/drawing/2014/main" id="{00000000-0008-0000-0A00-00004A000000}"/>
                </a:ext>
              </a:extLst>
            </xdr:cNvPr>
            <xdr:cNvGrpSpPr/>
          </xdr:nvGrpSpPr>
          <xdr:grpSpPr>
            <a:xfrm>
              <a:off x="8505825" y="1300162"/>
              <a:ext cx="360000" cy="360000"/>
              <a:chOff x="10182225" y="1181100"/>
              <a:chExt cx="360000" cy="360000"/>
            </a:xfrm>
          </xdr:grpSpPr>
          <xdr:sp macro="[0]!menuBar_c3" textlink="">
            <xdr:nvSpPr>
              <xdr:cNvPr id="53" name="MenuBarC3">
                <a:extLst>
                  <a:ext uri="{FF2B5EF4-FFF2-40B4-BE49-F238E27FC236}">
                    <a16:creationId xmlns:a16="http://schemas.microsoft.com/office/drawing/2014/main" id="{00000000-0008-0000-0A00-000035000000}"/>
                  </a:ext>
                </a:extLst>
              </xdr:cNvPr>
              <xdr:cNvSpPr/>
            </xdr:nvSpPr>
            <xdr:spPr>
              <a:xfrm>
                <a:off x="10248825" y="1247700"/>
                <a:ext cx="226800" cy="226800"/>
              </a:xfrm>
              <a:prstGeom prst="ellipse">
                <a:avLst/>
              </a:prstGeom>
              <a:solidFill>
                <a:srgbClr val="0070C0"/>
              </a:solidFill>
              <a:ln w="38100"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9" name="MenuBarC3Border">
                <a:extLst>
                  <a:ext uri="{FF2B5EF4-FFF2-40B4-BE49-F238E27FC236}">
                    <a16:creationId xmlns:a16="http://schemas.microsoft.com/office/drawing/2014/main" id="{00000000-0008-0000-0A00-00003B000000}"/>
                  </a:ext>
                </a:extLst>
              </xdr:cNvPr>
              <xdr:cNvSpPr/>
            </xdr:nvSpPr>
            <xdr:spPr>
              <a:xfrm>
                <a:off x="10182225" y="1181100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76" name="Groupe 75">
              <a:extLst>
                <a:ext uri="{FF2B5EF4-FFF2-40B4-BE49-F238E27FC236}">
                  <a16:creationId xmlns:a16="http://schemas.microsoft.com/office/drawing/2014/main" id="{00000000-0008-0000-0A00-00004C000000}"/>
                </a:ext>
              </a:extLst>
            </xdr:cNvPr>
            <xdr:cNvGrpSpPr/>
          </xdr:nvGrpSpPr>
          <xdr:grpSpPr>
            <a:xfrm>
              <a:off x="9286875" y="1300162"/>
              <a:ext cx="360000" cy="360000"/>
              <a:chOff x="11601450" y="1162050"/>
              <a:chExt cx="360000" cy="360000"/>
            </a:xfrm>
          </xdr:grpSpPr>
          <xdr:sp macro="[0]!menuBar_c5" textlink="">
            <xdr:nvSpPr>
              <xdr:cNvPr id="51" name="MenuBarC5">
                <a:extLst>
                  <a:ext uri="{FF2B5EF4-FFF2-40B4-BE49-F238E27FC236}">
                    <a16:creationId xmlns:a16="http://schemas.microsoft.com/office/drawing/2014/main" id="{00000000-0008-0000-0A00-000033000000}"/>
                  </a:ext>
                </a:extLst>
              </xdr:cNvPr>
              <xdr:cNvSpPr/>
            </xdr:nvSpPr>
            <xdr:spPr>
              <a:xfrm>
                <a:off x="11668050" y="1228650"/>
                <a:ext cx="226800" cy="226800"/>
              </a:xfrm>
              <a:prstGeom prst="ellipse">
                <a:avLst/>
              </a:prstGeom>
              <a:solidFill>
                <a:srgbClr val="C00000"/>
              </a:solidFill>
              <a:ln w="38100"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0" name="MenuBarC5Border">
                <a:extLst>
                  <a:ext uri="{FF2B5EF4-FFF2-40B4-BE49-F238E27FC236}">
                    <a16:creationId xmlns:a16="http://schemas.microsoft.com/office/drawing/2014/main" id="{00000000-0008-0000-0A00-00003C000000}"/>
                  </a:ext>
                </a:extLst>
              </xdr:cNvPr>
              <xdr:cNvSpPr/>
            </xdr:nvSpPr>
            <xdr:spPr>
              <a:xfrm>
                <a:off x="11601450" y="1162050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75" name="Groupe 74">
              <a:extLst>
                <a:ext uri="{FF2B5EF4-FFF2-40B4-BE49-F238E27FC236}">
                  <a16:creationId xmlns:a16="http://schemas.microsoft.com/office/drawing/2014/main" id="{00000000-0008-0000-0A00-00004B000000}"/>
                </a:ext>
              </a:extLst>
            </xdr:cNvPr>
            <xdr:cNvGrpSpPr/>
          </xdr:nvGrpSpPr>
          <xdr:grpSpPr>
            <a:xfrm>
              <a:off x="8896350" y="1300162"/>
              <a:ext cx="360000" cy="360000"/>
              <a:chOff x="10839450" y="1171575"/>
              <a:chExt cx="360000" cy="360000"/>
            </a:xfrm>
          </xdr:grpSpPr>
          <xdr:sp macro="[0]!menuBar_c4" textlink="">
            <xdr:nvSpPr>
              <xdr:cNvPr id="54" name="MenuBarC4">
                <a:extLst>
                  <a:ext uri="{FF2B5EF4-FFF2-40B4-BE49-F238E27FC236}">
                    <a16:creationId xmlns:a16="http://schemas.microsoft.com/office/drawing/2014/main" id="{00000000-0008-0000-0A00-000036000000}"/>
                  </a:ext>
                </a:extLst>
              </xdr:cNvPr>
              <xdr:cNvSpPr/>
            </xdr:nvSpPr>
            <xdr:spPr>
              <a:xfrm>
                <a:off x="10906050" y="1238175"/>
                <a:ext cx="226800" cy="226800"/>
              </a:xfrm>
              <a:prstGeom prst="ellipse">
                <a:avLst/>
              </a:prstGeom>
              <a:solidFill>
                <a:srgbClr val="00B050"/>
              </a:solidFill>
              <a:ln w="38100"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3" name="MenuBarC4Border">
                <a:extLst>
                  <a:ext uri="{FF2B5EF4-FFF2-40B4-BE49-F238E27FC236}">
                    <a16:creationId xmlns:a16="http://schemas.microsoft.com/office/drawing/2014/main" id="{00000000-0008-0000-0A00-00003F000000}"/>
                  </a:ext>
                </a:extLst>
              </xdr:cNvPr>
              <xdr:cNvSpPr/>
            </xdr:nvSpPr>
            <xdr:spPr>
              <a:xfrm>
                <a:off x="10839450" y="1171575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83" name="Groupe 82">
            <a:extLst>
              <a:ext uri="{FF2B5EF4-FFF2-40B4-BE49-F238E27FC236}">
                <a16:creationId xmlns:a16="http://schemas.microsoft.com/office/drawing/2014/main" id="{00000000-0008-0000-0A00-000053000000}"/>
              </a:ext>
            </a:extLst>
          </xdr:cNvPr>
          <xdr:cNvGrpSpPr/>
        </xdr:nvGrpSpPr>
        <xdr:grpSpPr>
          <a:xfrm>
            <a:off x="7715250" y="1752600"/>
            <a:ext cx="1922100" cy="360000"/>
            <a:chOff x="7705725" y="1752600"/>
            <a:chExt cx="1922100" cy="360000"/>
          </a:xfrm>
        </xdr:grpSpPr>
        <xdr:grpSp>
          <xdr:nvGrpSpPr>
            <xdr:cNvPr id="80" name="Groupe 79">
              <a:extLst>
                <a:ext uri="{FF2B5EF4-FFF2-40B4-BE49-F238E27FC236}">
                  <a16:creationId xmlns:a16="http://schemas.microsoft.com/office/drawing/2014/main" id="{00000000-0008-0000-0A00-000050000000}"/>
                </a:ext>
              </a:extLst>
            </xdr:cNvPr>
            <xdr:cNvGrpSpPr/>
          </xdr:nvGrpSpPr>
          <xdr:grpSpPr>
            <a:xfrm>
              <a:off x="8486775" y="1752600"/>
              <a:ext cx="360000" cy="360000"/>
              <a:chOff x="9782175" y="1790700"/>
              <a:chExt cx="360000" cy="360000"/>
            </a:xfrm>
          </xdr:grpSpPr>
          <xdr:sp macro="[0]!items_c3" textlink="">
            <xdr:nvSpPr>
              <xdr:cNvPr id="55" name="ItemsC3">
                <a:extLst>
                  <a:ext uri="{FF2B5EF4-FFF2-40B4-BE49-F238E27FC236}">
                    <a16:creationId xmlns:a16="http://schemas.microsoft.com/office/drawing/2014/main" id="{00000000-0008-0000-0A00-000037000000}"/>
                  </a:ext>
                </a:extLst>
              </xdr:cNvPr>
              <xdr:cNvSpPr/>
            </xdr:nvSpPr>
            <xdr:spPr>
              <a:xfrm>
                <a:off x="9848775" y="1857300"/>
                <a:ext cx="226800" cy="226800"/>
              </a:xfrm>
              <a:prstGeom prst="ellipse">
                <a:avLst/>
              </a:prstGeom>
              <a:solidFill>
                <a:srgbClr val="F5671B"/>
              </a:soli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6" name="ItemsC3Border">
                <a:extLst>
                  <a:ext uri="{FF2B5EF4-FFF2-40B4-BE49-F238E27FC236}">
                    <a16:creationId xmlns:a16="http://schemas.microsoft.com/office/drawing/2014/main" id="{00000000-0008-0000-0A00-000038000000}"/>
                  </a:ext>
                </a:extLst>
              </xdr:cNvPr>
              <xdr:cNvSpPr/>
            </xdr:nvSpPr>
            <xdr:spPr>
              <a:xfrm>
                <a:off x="9782175" y="1790700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A429E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78" name="Groupe 77">
              <a:extLst>
                <a:ext uri="{FF2B5EF4-FFF2-40B4-BE49-F238E27FC236}">
                  <a16:creationId xmlns:a16="http://schemas.microsoft.com/office/drawing/2014/main" id="{00000000-0008-0000-0A00-00004E000000}"/>
                </a:ext>
              </a:extLst>
            </xdr:cNvPr>
            <xdr:cNvGrpSpPr/>
          </xdr:nvGrpSpPr>
          <xdr:grpSpPr>
            <a:xfrm>
              <a:off x="7705725" y="1752600"/>
              <a:ext cx="360000" cy="360000"/>
              <a:chOff x="8562975" y="1771650"/>
              <a:chExt cx="360000" cy="360000"/>
            </a:xfrm>
          </xdr:grpSpPr>
          <xdr:sp macro="" textlink="">
            <xdr:nvSpPr>
              <xdr:cNvPr id="67" name="ItemsC1Border">
                <a:extLst>
                  <a:ext uri="{FF2B5EF4-FFF2-40B4-BE49-F238E27FC236}">
                    <a16:creationId xmlns:a16="http://schemas.microsoft.com/office/drawing/2014/main" id="{00000000-0008-0000-0A00-000043000000}"/>
                  </a:ext>
                </a:extLst>
              </xdr:cNvPr>
              <xdr:cNvSpPr/>
            </xdr:nvSpPr>
            <xdr:spPr>
              <a:xfrm>
                <a:off x="8562975" y="1771650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[0]!items_c1" textlink="">
            <xdr:nvSpPr>
              <xdr:cNvPr id="68" name="ItemsC1">
                <a:extLst>
                  <a:ext uri="{FF2B5EF4-FFF2-40B4-BE49-F238E27FC236}">
                    <a16:creationId xmlns:a16="http://schemas.microsoft.com/office/drawing/2014/main" id="{00000000-0008-0000-0A00-000044000000}"/>
                  </a:ext>
                </a:extLst>
              </xdr:cNvPr>
              <xdr:cNvSpPr/>
            </xdr:nvSpPr>
            <xdr:spPr>
              <a:xfrm>
                <a:off x="8629575" y="1838250"/>
                <a:ext cx="226800" cy="226800"/>
              </a:xfrm>
              <a:prstGeom prst="ellipse">
                <a:avLst/>
              </a:prstGeom>
              <a:solidFill>
                <a:srgbClr val="9E3F0D"/>
              </a:soli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82" name="Groupe 81">
              <a:extLst>
                <a:ext uri="{FF2B5EF4-FFF2-40B4-BE49-F238E27FC236}">
                  <a16:creationId xmlns:a16="http://schemas.microsoft.com/office/drawing/2014/main" id="{00000000-0008-0000-0A00-000052000000}"/>
                </a:ext>
              </a:extLst>
            </xdr:cNvPr>
            <xdr:cNvGrpSpPr/>
          </xdr:nvGrpSpPr>
          <xdr:grpSpPr>
            <a:xfrm>
              <a:off x="9267825" y="1752600"/>
              <a:ext cx="360000" cy="360000"/>
              <a:chOff x="11220450" y="1762125"/>
              <a:chExt cx="360000" cy="360000"/>
            </a:xfrm>
          </xdr:grpSpPr>
          <xdr:sp macro="" textlink="">
            <xdr:nvSpPr>
              <xdr:cNvPr id="66" name="ItemsC5Border">
                <a:extLst>
                  <a:ext uri="{FF2B5EF4-FFF2-40B4-BE49-F238E27FC236}">
                    <a16:creationId xmlns:a16="http://schemas.microsoft.com/office/drawing/2014/main" id="{00000000-0008-0000-0A00-000042000000}"/>
                  </a:ext>
                </a:extLst>
              </xdr:cNvPr>
              <xdr:cNvSpPr/>
            </xdr:nvSpPr>
            <xdr:spPr>
              <a:xfrm>
                <a:off x="11220450" y="1762125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[0]!items_c5" textlink="">
            <xdr:nvSpPr>
              <xdr:cNvPr id="69" name="ItemsC5">
                <a:extLst>
                  <a:ext uri="{FF2B5EF4-FFF2-40B4-BE49-F238E27FC236}">
                    <a16:creationId xmlns:a16="http://schemas.microsoft.com/office/drawing/2014/main" id="{00000000-0008-0000-0A00-000045000000}"/>
                  </a:ext>
                </a:extLst>
              </xdr:cNvPr>
              <xdr:cNvSpPr/>
            </xdr:nvSpPr>
            <xdr:spPr>
              <a:xfrm>
                <a:off x="11287050" y="1828725"/>
                <a:ext cx="226800" cy="226800"/>
              </a:xfrm>
              <a:prstGeom prst="ellipse">
                <a:avLst/>
              </a:prstGeom>
              <a:solidFill>
                <a:srgbClr val="FA429E"/>
              </a:soli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81" name="Groupe 80">
              <a:extLst>
                <a:ext uri="{FF2B5EF4-FFF2-40B4-BE49-F238E27FC236}">
                  <a16:creationId xmlns:a16="http://schemas.microsoft.com/office/drawing/2014/main" id="{00000000-0008-0000-0A00-000051000000}"/>
                </a:ext>
              </a:extLst>
            </xdr:cNvPr>
            <xdr:cNvGrpSpPr/>
          </xdr:nvGrpSpPr>
          <xdr:grpSpPr>
            <a:xfrm>
              <a:off x="8877300" y="1752600"/>
              <a:ext cx="360000" cy="360000"/>
              <a:chOff x="10477500" y="1790700"/>
              <a:chExt cx="360000" cy="360000"/>
            </a:xfrm>
          </xdr:grpSpPr>
          <xdr:sp macro="" textlink="">
            <xdr:nvSpPr>
              <xdr:cNvPr id="65" name="ItemsC4Border">
                <a:extLst>
                  <a:ext uri="{FF2B5EF4-FFF2-40B4-BE49-F238E27FC236}">
                    <a16:creationId xmlns:a16="http://schemas.microsoft.com/office/drawing/2014/main" id="{00000000-0008-0000-0A00-000041000000}"/>
                  </a:ext>
                </a:extLst>
              </xdr:cNvPr>
              <xdr:cNvSpPr/>
            </xdr:nvSpPr>
            <xdr:spPr>
              <a:xfrm>
                <a:off x="10477500" y="1790700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[0]!items_c4" textlink="">
            <xdr:nvSpPr>
              <xdr:cNvPr id="70" name="ItemsC4">
                <a:extLst>
                  <a:ext uri="{FF2B5EF4-FFF2-40B4-BE49-F238E27FC236}">
                    <a16:creationId xmlns:a16="http://schemas.microsoft.com/office/drawing/2014/main" id="{00000000-0008-0000-0A00-000046000000}"/>
                  </a:ext>
                </a:extLst>
              </xdr:cNvPr>
              <xdr:cNvSpPr/>
            </xdr:nvSpPr>
            <xdr:spPr>
              <a:xfrm>
                <a:off x="10544100" y="1857300"/>
                <a:ext cx="226800" cy="226800"/>
              </a:xfrm>
              <a:prstGeom prst="ellipse">
                <a:avLst/>
              </a:prstGeom>
              <a:solidFill>
                <a:srgbClr val="00CBCB"/>
              </a:soli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79" name="Groupe 78">
              <a:extLst>
                <a:ext uri="{FF2B5EF4-FFF2-40B4-BE49-F238E27FC236}">
                  <a16:creationId xmlns:a16="http://schemas.microsoft.com/office/drawing/2014/main" id="{00000000-0008-0000-0A00-00004F000000}"/>
                </a:ext>
              </a:extLst>
            </xdr:cNvPr>
            <xdr:cNvGrpSpPr/>
          </xdr:nvGrpSpPr>
          <xdr:grpSpPr>
            <a:xfrm>
              <a:off x="8096250" y="1752600"/>
              <a:ext cx="360000" cy="360000"/>
              <a:chOff x="9163050" y="1790700"/>
              <a:chExt cx="360000" cy="360000"/>
            </a:xfrm>
          </xdr:grpSpPr>
          <xdr:sp macro="" textlink="">
            <xdr:nvSpPr>
              <xdr:cNvPr id="64" name="ItemsC2Border">
                <a:extLst>
                  <a:ext uri="{FF2B5EF4-FFF2-40B4-BE49-F238E27FC236}">
                    <a16:creationId xmlns:a16="http://schemas.microsoft.com/office/drawing/2014/main" id="{00000000-0008-0000-0A00-000040000000}"/>
                  </a:ext>
                </a:extLst>
              </xdr:cNvPr>
              <xdr:cNvSpPr/>
            </xdr:nvSpPr>
            <xdr:spPr>
              <a:xfrm>
                <a:off x="9163050" y="1790700"/>
                <a:ext cx="360000" cy="360000"/>
              </a:xfrm>
              <a:prstGeom prst="rect">
                <a:avLst/>
              </a:prstGeom>
              <a:noFill/>
              <a:ln w="28575">
                <a:solidFill>
                  <a:srgbClr val="FFFFFF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[0]!items_c2" textlink="">
            <xdr:nvSpPr>
              <xdr:cNvPr id="71" name="ItemsC2">
                <a:extLst>
                  <a:ext uri="{FF2B5EF4-FFF2-40B4-BE49-F238E27FC236}">
                    <a16:creationId xmlns:a16="http://schemas.microsoft.com/office/drawing/2014/main" id="{00000000-0008-0000-0A00-000047000000}"/>
                  </a:ext>
                </a:extLst>
              </xdr:cNvPr>
              <xdr:cNvSpPr/>
            </xdr:nvSpPr>
            <xdr:spPr>
              <a:xfrm>
                <a:off x="9229650" y="1857300"/>
                <a:ext cx="226800" cy="226800"/>
              </a:xfrm>
              <a:prstGeom prst="ellipse">
                <a:avLst/>
              </a:prstGeom>
              <a:solidFill>
                <a:srgbClr val="6B0176"/>
              </a:soli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0998D1-4B8D-4F1F-81AE-41BF5B06651F}" name="Tableau3" displayName="Tableau3" ref="B5:D12" totalsRowShown="0" headerRowDxfId="113" dataDxfId="112">
  <autoFilter ref="B5:D12" xr:uid="{FD0998D1-4B8D-4F1F-81AE-41BF5B06651F}">
    <filterColumn colId="0" hiddenButton="1"/>
    <filterColumn colId="1" hiddenButton="1"/>
    <filterColumn colId="2" hiddenButton="1"/>
  </autoFilter>
  <tableColumns count="3">
    <tableColumn id="1" xr3:uid="{DB6B0519-6482-4E6D-A001-E40C40B1A702}" name="N° ligne" dataDxfId="111">
      <calculatedColumnFormula>IF(Tableau3[[#This Row],[N° catégorie]]&lt;&gt;"", ROW()-5, "")</calculatedColumnFormula>
    </tableColumn>
    <tableColumn id="2" xr3:uid="{A73A1E2E-63CB-4456-A952-77FBF399BFA5}" name="N° catégorie" dataDxfId="110"/>
    <tableColumn id="3" xr3:uid="{6BECF1F0-9955-4853-84C3-41DDA17DBA47}" name="Désignation" dataDxfId="10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4C5568-EC7B-4FAA-9F9A-4C5E2E2F1265}" name="Tableau1" displayName="Tableau1" ref="B5:V12" headerRowDxfId="104" dataDxfId="103">
  <autoFilter ref="B5:V12" xr:uid="{904C5568-EC7B-4FAA-9F9A-4C5E2E2F12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BACE8047-99F0-4C22-98DF-6764975440C9}" name="N° ligne" dataDxfId="102" totalsRowDxfId="101">
      <calculatedColumnFormula>IF(Tableau1[[#This Row],[N° article]]&lt;&gt;"", ROW()-5,"")</calculatedColumnFormula>
    </tableColumn>
    <tableColumn id="18" xr3:uid="{821D9C56-3016-4F8D-9E00-DFB7051FF904}" name="N° article" dataDxfId="100" totalsRowDxfId="99"/>
    <tableColumn id="19" xr3:uid="{55E6D3A8-60DA-4C9E-97A3-059A74F69012}" name="Désignation" dataDxfId="98" totalsRowDxfId="97"/>
    <tableColumn id="3" xr3:uid="{57049D2F-FC08-4D6B-A557-B798BDFCF5B3}" name="Catégorie" dataDxfId="96"/>
    <tableColumn id="4" xr3:uid="{4E9E244B-9CB2-4B5A-AB83-6C7E615B5AA8}" name="Qté Stock" dataDxfId="95" totalsRowDxfId="94"/>
    <tableColumn id="5" xr3:uid="{ED83BC65-39A0-4ECE-9B6A-F5FD3E47CAC3}" name="Unite" dataDxfId="93" totalsRowDxfId="92"/>
    <tableColumn id="6" xr3:uid="{FC178AA2-B683-4036-AFF6-147BBC5B8149}" name="PU Achat" dataDxfId="91"/>
    <tableColumn id="7" xr3:uid="{8F0B037C-063C-4BE2-934D-346945697B3E}" name="PU Vente" dataDxfId="90"/>
    <tableColumn id="8" xr3:uid="{5A635904-914B-408A-ADFB-6A927A35A133}" name="Marge" dataDxfId="89">
      <calculatedColumnFormula>Tableau1[[#This Row],[PU Vente]]-Tableau1[[#This Row],[PU Achat]]</calculatedColumnFormula>
    </tableColumn>
    <tableColumn id="9" xr3:uid="{644131FD-80B7-4744-B8A7-DCE37AF2C5B7}" name="Qté min" dataDxfId="88" totalsRowDxfId="87"/>
    <tableColumn id="20" xr3:uid="{69C0A6FB-48B4-4161-A38E-D59F4B8F20D9}" name="Qté vendu" dataDxfId="86" totalsRowDxfId="85">
      <calculatedColumnFormula>SUMIF(Tableau2[Article],Tableau1[[#This Row],[Désignation]],Tableau2[Qté])</calculatedColumnFormula>
    </tableColumn>
    <tableColumn id="21" xr3:uid="{47104178-C25A-4D0D-938A-661EF7BEBC99}" name="Rang" dataDxfId="84" totalsRowDxfId="83">
      <calculatedColumnFormula>COUNTIFS(Tableau1[Qté vendu],"&gt;"&amp;Tableau1[Qté vendu])+1</calculatedColumnFormula>
    </tableColumn>
    <tableColumn id="2" xr3:uid="{0F23D05B-71D8-438F-A19E-7CD3BD58BB09}" name="Statut" dataDxfId="82" totalsRowDxfId="81">
      <calculatedColumnFormula>IF(Tableau1[[#This Row],[Qté Stock]]&lt;Tableau1[[#This Row],[Qté min]],1,"")</calculatedColumnFormula>
    </tableColumn>
    <tableColumn id="17" xr3:uid="{14CD685D-0D2E-4AB1-9D87-5779FCB6A18B}" name="Vide" dataDxfId="80" totalsRowDxfId="79"/>
    <tableColumn id="10" xr3:uid="{835342CD-A579-49A5-9CF6-978C0DAEE82A}" name="0+" dataDxfId="78" totalsRowDxfId="77"/>
    <tableColumn id="11" xr3:uid="{68262C67-E05C-4E29-AABC-5E4C935DAEAD}" name="5+" dataDxfId="76" totalsRowDxfId="75"/>
    <tableColumn id="12" xr3:uid="{BF0C88D5-0BD5-4252-BB16-A72EBC1EDA05}" name="10+" dataDxfId="74" totalsRowDxfId="73"/>
    <tableColumn id="13" xr3:uid="{3742CDCE-9FA8-47C9-8B48-F0A45A717C65}" name="15+" dataDxfId="72" totalsRowDxfId="71"/>
    <tableColumn id="14" xr3:uid="{21990566-458D-48F5-BB34-4AE7F12A0A9D}" name="20+" dataDxfId="70" totalsRowDxfId="69"/>
    <tableColumn id="15" xr3:uid="{B0E9E1A5-2BB4-4910-ABF6-1B5AF946A871}" name="25+" dataDxfId="68" totalsRowDxfId="67"/>
    <tableColumn id="16" xr3:uid="{D131CF91-3B4E-486D-8203-385C63354407}" name="30+" dataDxfId="66" totalsRowDxfId="6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BAA972-94CD-4409-9A22-B3E3400082D3}" name="Tableau2" displayName="Tableau2" ref="B5:I13" totalsRowShown="0" headerRowDxfId="64" dataDxfId="63">
  <autoFilter ref="B5:I13" xr:uid="{C6BAA972-94CD-4409-9A22-B3E3400082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36FE014-49B2-4033-8DB2-C7FF8C996222}" name="N° ligne" dataDxfId="62">
      <calculatedColumnFormula>IF(Tableau2[[#This Row],[N° vente]]&lt;&gt;"", ROW()-5, "")</calculatedColumnFormula>
    </tableColumn>
    <tableColumn id="2" xr3:uid="{636BC820-27B9-4F15-A228-2BF3C183786A}" name="N° vente" dataDxfId="61"/>
    <tableColumn id="3" xr3:uid="{44D0F3AE-01DA-48D7-8A67-789C7169F10F}" name="Date" dataDxfId="60"/>
    <tableColumn id="4" xr3:uid="{A3E60196-7486-4830-B85E-F18774B48F1F}" name="Article" dataDxfId="59"/>
    <tableColumn id="5" xr3:uid="{B70D4FBA-4BFC-4BEC-A944-1EBA22BFFD93}" name="Catégorie" dataDxfId="58"/>
    <tableColumn id="6" xr3:uid="{904AF4C9-9763-43B3-AA88-AD90816A851D}" name="Qté" dataDxfId="57"/>
    <tableColumn id="7" xr3:uid="{0A86B8FB-34DB-4EEC-AA82-AD7D265D14A4}" name="PU de vente" dataDxfId="56"/>
    <tableColumn id="8" xr3:uid="{1A39D860-3B20-449F-A680-275AC11BBA8E}" name="Total" dataDxfId="5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CC15CF-D163-4D92-B7E1-46CBA5BB77FD}" name="Tableau7" displayName="Tableau7" ref="B16:H17" totalsRowShown="0" headerRowDxfId="54" dataDxfId="53" tableBorderDxfId="52">
  <autoFilter ref="B16:H17" xr:uid="{BFCC15CF-D163-4D92-B7E1-46CBA5BB77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1971E0CF-2113-48FE-83A0-609D08770B71}" name="N°" dataDxfId="51">
      <calculatedColumnFormula>IF(Tableau7[[#This Row],[N° vente]]&lt;&gt;"",ROW()-16,"")</calculatedColumnFormula>
    </tableColumn>
    <tableColumn id="2" xr3:uid="{4D094639-55E8-4186-945D-DF0354421912}" name="N° vente" dataDxfId="50"/>
    <tableColumn id="3" xr3:uid="{B9DA61A7-FF3C-4E23-B185-0C971DC2241C}" name="Article" dataDxfId="49"/>
    <tableColumn id="4" xr3:uid="{9BA8E780-F10A-4D26-8AFA-9EC3670F1FD2}" name="Catégorie" dataDxfId="48"/>
    <tableColumn id="5" xr3:uid="{019BE65D-E051-45D4-8B29-F02074A9E637}" name="Qté" dataDxfId="47"/>
    <tableColumn id="6" xr3:uid="{D43C6CA4-BC77-45F1-87AE-89B2CDD54DDA}" name="Prix" dataDxfId="46"/>
    <tableColumn id="7" xr3:uid="{F1A411BA-6AE2-427C-BDCB-D345074E63F4}" name="Bénéfice" dataDxfId="45">
      <calculatedColumnFormula array="1">IF(Tableau7[[#This Row],[N°]]&lt;&gt;"",PRODUCT(IFERROR(VLOOKUP(Tableau7[[#This Row],[Article]],Tableau1[[Désignation]:[Marge]],7,0),0),Tableau7[[#This Row],[Qté]]),"")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BF184AA-6CAD-4C09-8559-3EB21BAB80C3}" name="Tableau5" displayName="Tableau5" ref="B16:H17" totalsRowShown="0" headerRowDxfId="44" dataDxfId="43">
  <autoFilter ref="B16:H17" xr:uid="{5BF184AA-6CAD-4C09-8559-3EB21BAB80C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31F4DC4-39DB-4939-864E-F6C8D79528C5}" name="N°" dataDxfId="42">
      <calculatedColumnFormula>IF(Tableau5[[#This Row],[N° vente]]&lt;&gt;"",ROW()-16,"")</calculatedColumnFormula>
    </tableColumn>
    <tableColumn id="2" xr3:uid="{547EACCB-2E28-4B79-8ACB-38FB867A365F}" name="N° vente" dataDxfId="41"/>
    <tableColumn id="3" xr3:uid="{8CA9B711-845E-4CE6-AFD3-8B8F7A2BBB75}" name="Article" dataDxfId="40"/>
    <tableColumn id="4" xr3:uid="{AAD25918-92B7-4090-AC4B-1F4FD28DFA6E}" name="Catégorie" dataDxfId="39"/>
    <tableColumn id="5" xr3:uid="{064EAAD8-95CC-4A78-9063-F4FA960983C9}" name="Qté" dataDxfId="38"/>
    <tableColumn id="6" xr3:uid="{A37ED9F9-BF66-4E04-9F0B-A742F862AF40}" name="Prix" dataDxfId="37"/>
    <tableColumn id="7" xr3:uid="{FF2201A4-4802-48B8-8595-94F03C38EA0A}" name="Bénéfice" dataDxfId="36">
      <calculatedColumnFormula array="1">IF(Tableau5[[#This Row],[N°]]&lt;&gt;"",PRODUCT(IFERROR(VLOOKUP(Tableau5[[#This Row],[Article]],Tableau1[[Désignation]:[Marge]],7,0),0),Tableau5[[#This Row],[Qté]]),"")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2B1DAF-09C8-41B9-886D-C5187E135F75}" name="Tableau4" displayName="Tableau4" ref="B5:K18" totalsRowShown="0" headerRowDxfId="33" dataDxfId="31" headerRowBorderDxfId="32" tableBorderDxfId="30">
  <autoFilter ref="B5:K18" xr:uid="{972B1DAF-09C8-41B9-886D-C5187E135F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EBD7E84C-7680-42D5-9FF8-1740AAC65F83}" name="N° ligne" dataDxfId="29">
      <calculatedColumnFormula>IF(Tableau4[[#This Row],[N° commande]]&lt;&gt;"", ROW()-5, "")</calculatedColumnFormula>
    </tableColumn>
    <tableColumn id="2" xr3:uid="{BBED8F64-3F5A-4889-A1FC-8A535C103F53}" name="N° commande" dataDxfId="28"/>
    <tableColumn id="3" xr3:uid="{634EB957-2D91-442E-AF7C-A9117CD5E4DD}" name="Date" dataDxfId="27"/>
    <tableColumn id="4" xr3:uid="{53D7B4B0-075F-4E49-880C-AABF9A510132}" name="Article" dataDxfId="26"/>
    <tableColumn id="5" xr3:uid="{88B91511-55F6-4F53-92DF-97A1741FEA8B}" name="Catégorie" dataDxfId="25"/>
    <tableColumn id="6" xr3:uid="{6B4254B3-BA2C-406C-8387-6146571C552A}" name="Qté Stock" dataDxfId="24"/>
    <tableColumn id="7" xr3:uid="{A0F86686-2528-45FA-8986-84AB966C53B0}" name="Qté Achetée" dataDxfId="23"/>
    <tableColumn id="8" xr3:uid="{61BA7076-1904-4233-BFEE-9B7D6FB5FC7A}" name="PU Achat" dataDxfId="22"/>
    <tableColumn id="9" xr3:uid="{AF0ECA97-0245-4225-84C0-E2EB8F268A1C}" name="Total" dataDxfId="21"/>
    <tableColumn id="10" xr3:uid="{EDA54DA5-7F6B-47BF-B3DA-7F5D920E3C9A}" name="Statut" dataDxfId="20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49B7B4-82CE-4108-BD20-D57009DD56B3}" name="Tableau8" displayName="Tableau8" ref="B17:H19" totalsRowShown="0" headerRowDxfId="19" dataDxfId="17" headerRowBorderDxfId="18" tableBorderDxfId="16">
  <autoFilter ref="B17:H19" xr:uid="{4C49B7B4-82CE-4108-BD20-D57009DD56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46EF89D-5E10-44F8-93E7-20A0BC29E0CE}" name="N°" dataDxfId="15">
      <calculatedColumnFormula>IF(Tableau8[[#This Row],[Article]]&lt;&gt;"", ROW()-17, "")</calculatedColumnFormula>
    </tableColumn>
    <tableColumn id="2" xr3:uid="{4F152C48-03D1-403E-8CC6-DECD29B5DAEA}" name="Article" dataDxfId="14"/>
    <tableColumn id="3" xr3:uid="{CF3A107B-2A6E-4EAC-8073-D809B35E2BD5}" name="Catégorie" dataDxfId="13"/>
    <tableColumn id="4" xr3:uid="{ABF04F25-8963-4ACE-AF6D-BC0DAFD0A56F}" name="Qté en stock" dataDxfId="12"/>
    <tableColumn id="5" xr3:uid="{8AC49E90-F5A8-4BE4-B9C7-23CC3FD06A66}" name="Qté achetée" dataDxfId="11"/>
    <tableColumn id="6" xr3:uid="{C3ABCF80-E12E-40E0-A83F-5D8F3B34902C}" name="PU d'achat" dataDxfId="10"/>
    <tableColumn id="7" xr3:uid="{0DAAF11F-FD05-443C-B501-1587D88F595F}" name="Prix" dataDxfId="9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EC7570-403A-469A-8DFF-571743804816}" name="Tableau510" displayName="Tableau510" ref="B16:H20" totalsRowShown="0" headerRowDxfId="8" dataDxfId="7">
  <autoFilter ref="B16:H20" xr:uid="{BAEC7570-403A-469A-8DFF-5717438048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C7458E3-91EF-409B-88E3-F952D33895EB}" name="N°" dataDxfId="6">
      <calculatedColumnFormula>IF(Tableau510[[#This Row],[N° vente]]&lt;&gt;"",ROW()-16,"")</calculatedColumnFormula>
    </tableColumn>
    <tableColumn id="2" xr3:uid="{56E10860-2B7E-4D1F-B438-E607909BB490}" name="N° vente" dataDxfId="5"/>
    <tableColumn id="3" xr3:uid="{4FA9AB06-5360-4146-B4CB-58ECB86C5B74}" name="Article" dataDxfId="4"/>
    <tableColumn id="4" xr3:uid="{2E0EFF19-0135-4311-BE9A-50F3446C877B}" name="Catégorie" dataDxfId="3"/>
    <tableColumn id="5" xr3:uid="{D83F08FF-D0F9-43C2-A81E-6B78D73BE59E}" name="Qté" dataDxfId="2"/>
    <tableColumn id="6" xr3:uid="{E1422453-F759-4035-9657-04EF451B75EA}" name="Prix" dataDxfId="1"/>
    <tableColumn id="7" xr3:uid="{40E2E4AF-3DAC-4320-9503-0FA8585B6513}" name="Bénéfice" dataDxfId="0">
      <calculatedColumnFormula array="1">IF(Tableau510[[#This Row],[N°]]&lt;&gt;"",PRODUCT(IFERROR(VLOOKUP(Tableau510[[#This Row],[Article]],Tableau1[[Désignation]:[Marge]],7,0),0),Tableau510[[#This Row],[Qté]]),"")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12.emf"/><Relationship Id="rId10" Type="http://schemas.openxmlformats.org/officeDocument/2006/relationships/table" Target="../tables/table1.xml"/><Relationship Id="rId4" Type="http://schemas.openxmlformats.org/officeDocument/2006/relationships/control" Target="../activeX/activeX4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table" Target="../tables/table2.xml"/><Relationship Id="rId4" Type="http://schemas.openxmlformats.org/officeDocument/2006/relationships/control" Target="../activeX/activeX7.xml"/><Relationship Id="rId9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10" Type="http://schemas.openxmlformats.org/officeDocument/2006/relationships/table" Target="../tables/table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image" Target="../media/image21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image" Target="../media/image24.emf"/><Relationship Id="rId4" Type="http://schemas.openxmlformats.org/officeDocument/2006/relationships/control" Target="../activeX/activeX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12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image" Target="../media/image30.emf"/><Relationship Id="rId4" Type="http://schemas.openxmlformats.org/officeDocument/2006/relationships/control" Target="../activeX/activeX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pseudo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B7EB-462B-428F-8F46-0C8116FB1537}">
  <sheetPr codeName="Feuil11"/>
  <dimension ref="A9:A23"/>
  <sheetViews>
    <sheetView tabSelected="1" workbookViewId="0">
      <selection activeCell="K9" sqref="K9"/>
    </sheetView>
  </sheetViews>
  <sheetFormatPr baseColWidth="10" defaultRowHeight="15" x14ac:dyDescent="0.25"/>
  <cols>
    <col min="1" max="16384" width="11.42578125" style="26"/>
  </cols>
  <sheetData>
    <row r="9" s="26" customFormat="1" ht="21.75" customHeight="1" x14ac:dyDescent="0.25"/>
    <row r="10" s="26" customFormat="1" x14ac:dyDescent="0.25"/>
    <row r="11" s="25" customFormat="1" ht="21" customHeight="1" x14ac:dyDescent="0.25"/>
    <row r="12" s="25" customFormat="1" x14ac:dyDescent="0.25"/>
    <row r="13" s="25" customFormat="1" ht="21.75" customHeight="1" x14ac:dyDescent="0.25"/>
    <row r="14" s="25" customFormat="1" x14ac:dyDescent="0.25"/>
    <row r="15" s="25" customFormat="1" x14ac:dyDescent="0.25"/>
    <row r="16" s="25" customFormat="1" x14ac:dyDescent="0.25"/>
    <row r="17" s="25" customFormat="1" x14ac:dyDescent="0.25"/>
    <row r="18" s="25" customFormat="1" x14ac:dyDescent="0.25"/>
    <row r="19" s="25" customFormat="1" x14ac:dyDescent="0.25"/>
    <row r="20" s="25" customFormat="1" x14ac:dyDescent="0.25"/>
    <row r="21" s="25" customFormat="1" x14ac:dyDescent="0.25"/>
    <row r="22" s="25" customFormat="1" x14ac:dyDescent="0.25"/>
    <row r="23" s="25" customFormat="1" x14ac:dyDescent="0.25"/>
  </sheetData>
  <sheetProtection algorithmName="SHA-512" hashValue="3nVkl8v9UF6ltHH4bjn2cfjhymvrG5buuwivNvepn8l/bh14srIgev8dx7VHluet919vOF91PC09LcwbsKGhnw==" saltValue="0bx1NWVENJ8W0wazpudW5A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61" r:id="rId4" name="loginButton">
          <controlPr defaultSize="0" autoLine="0" r:id="rId5">
            <anchor>
              <from>
                <xdr:col>8</xdr:col>
                <xdr:colOff>200025</xdr:colOff>
                <xdr:row>12</xdr:row>
                <xdr:rowOff>190500</xdr:rowOff>
              </from>
              <to>
                <xdr:col>9</xdr:col>
                <xdr:colOff>752475</xdr:colOff>
                <xdr:row>14</xdr:row>
                <xdr:rowOff>28575</xdr:rowOff>
              </to>
            </anchor>
          </controlPr>
        </control>
      </mc:Choice>
      <mc:Fallback>
        <control shapeId="19461" r:id="rId4" name="loginButton"/>
      </mc:Fallback>
    </mc:AlternateContent>
    <mc:AlternateContent xmlns:mc="http://schemas.openxmlformats.org/markup-compatibility/2006">
      <mc:Choice Requires="x14">
        <control shapeId="19459" r:id="rId6" name="pwdTextBox">
          <controlPr defaultSize="0" autoLine="0" r:id="rId7">
            <anchor>
              <from>
                <xdr:col>8</xdr:col>
                <xdr:colOff>190500</xdr:colOff>
                <xdr:row>10</xdr:row>
                <xdr:rowOff>180975</xdr:rowOff>
              </from>
              <to>
                <xdr:col>10</xdr:col>
                <xdr:colOff>0</xdr:colOff>
                <xdr:row>12</xdr:row>
                <xdr:rowOff>19050</xdr:rowOff>
              </to>
            </anchor>
          </controlPr>
        </control>
      </mc:Choice>
      <mc:Fallback>
        <control shapeId="19459" r:id="rId6" name="pwdTextBox"/>
      </mc:Fallback>
    </mc:AlternateContent>
    <mc:AlternateContent xmlns:mc="http://schemas.openxmlformats.org/markup-compatibility/2006">
      <mc:Choice Requires="x14">
        <control shapeId="19457" r:id="rId8" name="loginTextBox">
          <controlPr defaultSize="0" autoLine="0" r:id="rId9">
            <anchor>
              <from>
                <xdr:col>8</xdr:col>
                <xdr:colOff>190500</xdr:colOff>
                <xdr:row>8</xdr:row>
                <xdr:rowOff>171450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9457" r:id="rId8" name="loginText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13-F3FB-47BD-94C0-5E8E57DE7134}">
  <sheetPr codeName="Feuil8"/>
  <dimension ref="A1:A6"/>
  <sheetViews>
    <sheetView showGridLines="0" zoomScaleNormal="100" workbookViewId="0">
      <selection activeCell="Q31" sqref="Q31"/>
    </sheetView>
  </sheetViews>
  <sheetFormatPr baseColWidth="10" defaultRowHeight="15" x14ac:dyDescent="0.25"/>
  <cols>
    <col min="16" max="16" width="11.42578125" customWidth="1"/>
  </cols>
  <sheetData>
    <row r="1" ht="42" customHeight="1" x14ac:dyDescent="0.25"/>
    <row r="6" customFormat="1" x14ac:dyDescent="0.25"/>
  </sheetData>
  <sheetProtection algorithmName="SHA-512" hashValue="ckb6rQEp/y0lnadOw5kfRMP18Cnts0C17u9K6QeM9GH0yhrbjrxg7lcMfCf3/nvAnFtG5PyA9eeCoTP898fn6g==" saltValue="MRB+aX8WtJhp6SlqFjny1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BF007-22D3-43DA-843A-09E0894D2CF1}">
  <sheetPr codeName="Feuil3"/>
  <dimension ref="B1:D12"/>
  <sheetViews>
    <sheetView showGridLines="0" workbookViewId="0">
      <selection activeCell="F7" sqref="F7"/>
    </sheetView>
  </sheetViews>
  <sheetFormatPr baseColWidth="10" defaultRowHeight="15" x14ac:dyDescent="0.25"/>
  <cols>
    <col min="2" max="2" width="8.7109375" customWidth="1"/>
    <col min="3" max="3" width="13.5703125" customWidth="1"/>
    <col min="4" max="4" width="28.42578125" customWidth="1"/>
  </cols>
  <sheetData>
    <row r="1" spans="2:4" ht="42" customHeight="1" x14ac:dyDescent="0.25"/>
    <row r="3" spans="2:4" ht="24" customHeight="1" x14ac:dyDescent="0.25">
      <c r="B3" s="83"/>
      <c r="C3" s="83"/>
      <c r="D3" s="83"/>
    </row>
    <row r="4" spans="2:4" ht="9" customHeight="1" x14ac:dyDescent="0.25">
      <c r="B4" s="84"/>
      <c r="C4" s="84"/>
      <c r="D4" s="84"/>
    </row>
    <row r="5" spans="2:4" ht="33" customHeight="1" x14ac:dyDescent="0.25">
      <c r="B5" s="76" t="s">
        <v>22</v>
      </c>
      <c r="C5" s="76" t="s">
        <v>28</v>
      </c>
      <c r="D5" s="76" t="s">
        <v>1</v>
      </c>
    </row>
    <row r="6" spans="2:4" ht="15.75" x14ac:dyDescent="0.25">
      <c r="B6" s="72">
        <f>IF(Tableau3[[#This Row],[N° catégorie]]&lt;&gt;"", ROW()-5, "")</f>
        <v>1</v>
      </c>
      <c r="C6" s="72" t="s">
        <v>23</v>
      </c>
      <c r="D6" s="72" t="s">
        <v>51</v>
      </c>
    </row>
    <row r="7" spans="2:4" ht="15.75" x14ac:dyDescent="0.25">
      <c r="B7" s="72">
        <f>IF(Tableau3[[#This Row],[N° catégorie]]&lt;&gt;"", ROW()-5, "")</f>
        <v>2</v>
      </c>
      <c r="C7" s="72" t="s">
        <v>25</v>
      </c>
      <c r="D7" s="72" t="s">
        <v>58</v>
      </c>
    </row>
    <row r="8" spans="2:4" ht="15.75" x14ac:dyDescent="0.25">
      <c r="B8" s="72">
        <f>IF(Tableau3[[#This Row],[N° catégorie]]&lt;&gt;"", ROW()-5, "")</f>
        <v>3</v>
      </c>
      <c r="C8" s="72" t="s">
        <v>26</v>
      </c>
      <c r="D8" s="72" t="s">
        <v>59</v>
      </c>
    </row>
    <row r="9" spans="2:4" ht="15.75" x14ac:dyDescent="0.25">
      <c r="B9" s="72">
        <f>IF(Tableau3[[#This Row],[N° catégorie]]&lt;&gt;"", ROW()-5, "")</f>
        <v>4</v>
      </c>
      <c r="C9" s="72" t="s">
        <v>50</v>
      </c>
      <c r="D9" s="72" t="s">
        <v>31</v>
      </c>
    </row>
    <row r="10" spans="2:4" ht="15.75" x14ac:dyDescent="0.25">
      <c r="B10" s="72">
        <f>IF(Tableau3[[#This Row],[N° catégorie]]&lt;&gt;"", ROW()-5, "")</f>
        <v>5</v>
      </c>
      <c r="C10" s="72" t="s">
        <v>57</v>
      </c>
      <c r="D10" s="72" t="s">
        <v>85</v>
      </c>
    </row>
    <row r="11" spans="2:4" ht="15.75" x14ac:dyDescent="0.25">
      <c r="B11" s="72">
        <f>IF(Tableau3[[#This Row],[N° catégorie]]&lt;&gt;"", ROW()-5, "")</f>
        <v>6</v>
      </c>
      <c r="C11" s="72" t="s">
        <v>88</v>
      </c>
      <c r="D11" s="72" t="s">
        <v>161</v>
      </c>
    </row>
    <row r="12" spans="2:4" ht="15.75" x14ac:dyDescent="0.25">
      <c r="B12" s="72">
        <f>IF(Tableau3[[#This Row],[N° catégorie]]&lt;&gt;"", ROW()-5, "")</f>
        <v>7</v>
      </c>
      <c r="C12" s="72" t="s">
        <v>159</v>
      </c>
      <c r="D12" s="72" t="s">
        <v>160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addButton">
          <controlPr defaultSize="0" autoLine="0" r:id="rId5">
            <anchor>
              <from>
                <xdr:col>0</xdr:col>
                <xdr:colOff>752475</xdr:colOff>
                <xdr:row>1</xdr:row>
                <xdr:rowOff>180975</xdr:rowOff>
              </from>
              <to>
                <xdr:col>2</xdr:col>
                <xdr:colOff>371475</xdr:colOff>
                <xdr:row>3</xdr:row>
                <xdr:rowOff>9525</xdr:rowOff>
              </to>
            </anchor>
          </controlPr>
        </control>
      </mc:Choice>
      <mc:Fallback>
        <control shapeId="2050" r:id="rId4" name="addButton"/>
      </mc:Fallback>
    </mc:AlternateContent>
    <mc:AlternateContent xmlns:mc="http://schemas.openxmlformats.org/markup-compatibility/2006">
      <mc:Choice Requires="x14">
        <control shapeId="2051" r:id="rId6" name="deleteButton">
          <controlPr defaultSize="0" autoLine="0" r:id="rId7">
            <anchor>
              <from>
                <xdr:col>3</xdr:col>
                <xdr:colOff>419100</xdr:colOff>
                <xdr:row>1</xdr:row>
                <xdr:rowOff>180975</xdr:rowOff>
              </from>
              <to>
                <xdr:col>3</xdr:col>
                <xdr:colOff>1381125</xdr:colOff>
                <xdr:row>3</xdr:row>
                <xdr:rowOff>9525</xdr:rowOff>
              </to>
            </anchor>
          </controlPr>
        </control>
      </mc:Choice>
      <mc:Fallback>
        <control shapeId="2051" r:id="rId6" name="deleteButton"/>
      </mc:Fallback>
    </mc:AlternateContent>
    <mc:AlternateContent xmlns:mc="http://schemas.openxmlformats.org/markup-compatibility/2006">
      <mc:Choice Requires="x14">
        <control shapeId="2052" r:id="rId8" name="editButton">
          <controlPr defaultSize="0" autoLine="0" r:id="rId9">
            <anchor>
              <from>
                <xdr:col>2</xdr:col>
                <xdr:colOff>361950</xdr:colOff>
                <xdr:row>1</xdr:row>
                <xdr:rowOff>180975</xdr:rowOff>
              </from>
              <to>
                <xdr:col>3</xdr:col>
                <xdr:colOff>419100</xdr:colOff>
                <xdr:row>3</xdr:row>
                <xdr:rowOff>9525</xdr:rowOff>
              </to>
            </anchor>
          </controlPr>
        </control>
      </mc:Choice>
      <mc:Fallback>
        <control shapeId="2052" r:id="rId8" name="editButton"/>
      </mc:Fallback>
    </mc:AlternateContent>
  </controls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0DF7C-0393-480F-B42A-3761E05FCD78}">
  <sheetPr codeName="Feuil1"/>
  <dimension ref="B1:V17"/>
  <sheetViews>
    <sheetView showGridLines="0" zoomScaleNormal="100" workbookViewId="0">
      <selection activeCell="P25" sqref="P25"/>
    </sheetView>
  </sheetViews>
  <sheetFormatPr baseColWidth="10" defaultRowHeight="15.75" x14ac:dyDescent="0.25"/>
  <cols>
    <col min="1" max="1" width="11.42578125" style="1" customWidth="1"/>
    <col min="2" max="2" width="8.7109375" style="1" customWidth="1"/>
    <col min="3" max="3" width="11.42578125" style="1"/>
    <col min="4" max="5" width="17.85546875" style="1" customWidth="1"/>
    <col min="6" max="6" width="8.7109375" style="1" customWidth="1"/>
    <col min="7" max="7" width="14" style="1" customWidth="1"/>
    <col min="8" max="9" width="14" style="5" customWidth="1"/>
    <col min="10" max="10" width="11.42578125" style="5" customWidth="1"/>
    <col min="11" max="11" width="8.7109375" style="1" customWidth="1"/>
    <col min="12" max="14" width="8.7109375" style="1" hidden="1" customWidth="1"/>
    <col min="15" max="15" width="0.42578125" style="1" customWidth="1"/>
    <col min="16" max="22" width="6.28515625" style="1" customWidth="1"/>
    <col min="23" max="16384" width="11.42578125" style="1"/>
  </cols>
  <sheetData>
    <row r="1" spans="2:22" ht="42" customHeight="1" x14ac:dyDescent="0.25"/>
    <row r="3" spans="2:22" ht="24" customHeight="1" x14ac:dyDescent="0.25"/>
    <row r="4" spans="2:22" ht="9" customHeight="1" x14ac:dyDescent="0.25">
      <c r="B4" s="85"/>
      <c r="C4" s="85"/>
      <c r="D4" s="85"/>
      <c r="E4" s="85"/>
      <c r="P4" s="2">
        <v>0</v>
      </c>
      <c r="Q4" s="2">
        <v>5</v>
      </c>
      <c r="R4" s="2">
        <v>10</v>
      </c>
      <c r="S4" s="2">
        <v>15</v>
      </c>
      <c r="T4" s="2">
        <v>20</v>
      </c>
      <c r="U4" s="2">
        <v>25</v>
      </c>
      <c r="V4" s="2">
        <v>30</v>
      </c>
    </row>
    <row r="5" spans="2:22" ht="33" customHeight="1" x14ac:dyDescent="0.25">
      <c r="B5" s="76" t="s">
        <v>22</v>
      </c>
      <c r="C5" s="76" t="s">
        <v>21</v>
      </c>
      <c r="D5" s="76" t="s">
        <v>1</v>
      </c>
      <c r="E5" s="76" t="s">
        <v>0</v>
      </c>
      <c r="F5" s="76" t="s">
        <v>154</v>
      </c>
      <c r="G5" s="76" t="s">
        <v>7</v>
      </c>
      <c r="H5" s="77" t="s">
        <v>155</v>
      </c>
      <c r="I5" s="77" t="s">
        <v>156</v>
      </c>
      <c r="J5" s="77" t="s">
        <v>5</v>
      </c>
      <c r="K5" s="76" t="s">
        <v>6</v>
      </c>
      <c r="L5" s="76" t="s">
        <v>90</v>
      </c>
      <c r="M5" s="76" t="s">
        <v>89</v>
      </c>
      <c r="N5" s="76" t="s">
        <v>86</v>
      </c>
      <c r="O5" s="78" t="s">
        <v>15</v>
      </c>
      <c r="P5" s="75" t="s">
        <v>8</v>
      </c>
      <c r="Q5" s="75" t="s">
        <v>9</v>
      </c>
      <c r="R5" s="75" t="s">
        <v>10</v>
      </c>
      <c r="S5" s="75" t="s">
        <v>11</v>
      </c>
      <c r="T5" s="75" t="s">
        <v>12</v>
      </c>
      <c r="U5" s="75" t="s">
        <v>13</v>
      </c>
      <c r="V5" s="75" t="s">
        <v>14</v>
      </c>
    </row>
    <row r="6" spans="2:22" x14ac:dyDescent="0.25">
      <c r="B6" s="72">
        <f>IF(Tableau1[[#This Row],[N° article]]&lt;&gt;"", ROW()-5,"")</f>
        <v>1</v>
      </c>
      <c r="C6" s="72" t="s">
        <v>19</v>
      </c>
      <c r="D6" s="72" t="s">
        <v>32</v>
      </c>
      <c r="E6" s="72" t="s">
        <v>58</v>
      </c>
      <c r="F6" s="72">
        <v>24</v>
      </c>
      <c r="G6" s="72" t="s">
        <v>34</v>
      </c>
      <c r="H6" s="74">
        <v>3500</v>
      </c>
      <c r="I6" s="74">
        <v>4000</v>
      </c>
      <c r="J6" s="74">
        <f>Tableau1[[#This Row],[PU Vente]]-Tableau1[[#This Row],[PU Achat]]</f>
        <v>500</v>
      </c>
      <c r="K6" s="72">
        <v>4</v>
      </c>
      <c r="L6" s="72">
        <f>SUMIF(Tableau2[Article],Tableau1[[#This Row],[Désignation]],Tableau2[Qté])</f>
        <v>0</v>
      </c>
      <c r="M6" s="72">
        <f>COUNTIFS(Tableau1[Qté vendu],"&gt;"&amp;Tableau1[Qté vendu])+1</f>
        <v>5</v>
      </c>
      <c r="N6" s="72" t="str">
        <f>IF(Tableau1[[#This Row],[Qté Stock]]&lt;Tableau1[[#This Row],[Qté min]],1,"")</f>
        <v/>
      </c>
    </row>
    <row r="7" spans="2:22" x14ac:dyDescent="0.25">
      <c r="B7" s="72">
        <f>IF(Tableau1[[#This Row],[N° article]]&lt;&gt;"", ROW()-5,"")</f>
        <v>2</v>
      </c>
      <c r="C7" s="72" t="s">
        <v>20</v>
      </c>
      <c r="D7" s="72" t="s">
        <v>33</v>
      </c>
      <c r="E7" s="72" t="s">
        <v>56</v>
      </c>
      <c r="F7" s="72">
        <v>14</v>
      </c>
      <c r="G7" s="72" t="s">
        <v>35</v>
      </c>
      <c r="H7" s="74">
        <v>5000</v>
      </c>
      <c r="I7" s="74">
        <v>5800</v>
      </c>
      <c r="J7" s="74">
        <f>Tableau1[[#This Row],[PU Vente]]-Tableau1[[#This Row],[PU Achat]]</f>
        <v>800</v>
      </c>
      <c r="K7" s="72">
        <v>3</v>
      </c>
      <c r="L7" s="72">
        <f>SUMIF(Tableau2[Article],Tableau1[[#This Row],[Désignation]],Tableau2[Qté])</f>
        <v>1</v>
      </c>
      <c r="M7" s="72">
        <f>COUNTIFS(Tableau1[Qté vendu],"&gt;"&amp;Tableau1[Qté vendu])+1</f>
        <v>4</v>
      </c>
      <c r="N7" s="72" t="str">
        <f>IF(Tableau1[[#This Row],[Qté Stock]]&lt;Tableau1[[#This Row],[Qté min]],1,"")</f>
        <v/>
      </c>
    </row>
    <row r="8" spans="2:22" x14ac:dyDescent="0.25">
      <c r="B8" s="72">
        <f>IF(Tableau1[[#This Row],[N° article]]&lt;&gt;"", ROW()-5,"")</f>
        <v>3</v>
      </c>
      <c r="C8" s="72" t="s">
        <v>39</v>
      </c>
      <c r="D8" s="72" t="s">
        <v>40</v>
      </c>
      <c r="E8" s="72" t="s">
        <v>51</v>
      </c>
      <c r="F8" s="72">
        <v>9</v>
      </c>
      <c r="G8" s="72" t="s">
        <v>41</v>
      </c>
      <c r="H8" s="74">
        <v>3000</v>
      </c>
      <c r="I8" s="74">
        <v>5000</v>
      </c>
      <c r="J8" s="74">
        <f>Tableau1[[#This Row],[PU Vente]]-Tableau1[[#This Row],[PU Achat]]</f>
        <v>2000</v>
      </c>
      <c r="K8" s="72">
        <v>10</v>
      </c>
      <c r="L8" s="72">
        <f>SUMIF(Tableau2[Article],Tableau1[[#This Row],[Désignation]],Tableau2[Qté])</f>
        <v>21</v>
      </c>
      <c r="M8" s="72">
        <f>COUNTIFS(Tableau1[Qté vendu],"&gt;"&amp;Tableau1[Qté vendu])+1</f>
        <v>1</v>
      </c>
      <c r="N8" s="72">
        <f>IF(Tableau1[[#This Row],[Qté Stock]]&lt;Tableau1[[#This Row],[Qté min]],1,"")</f>
        <v>1</v>
      </c>
    </row>
    <row r="9" spans="2:22" x14ac:dyDescent="0.25">
      <c r="B9" s="72">
        <f>IF(Tableau1[[#This Row],[N° article]]&lt;&gt;"", ROW()-5,"")</f>
        <v>4</v>
      </c>
      <c r="C9" s="72" t="s">
        <v>42</v>
      </c>
      <c r="D9" s="72" t="s">
        <v>43</v>
      </c>
      <c r="E9" s="72" t="s">
        <v>31</v>
      </c>
      <c r="F9" s="72">
        <v>9.5</v>
      </c>
      <c r="G9" s="72" t="s">
        <v>44</v>
      </c>
      <c r="H9" s="74">
        <v>2500</v>
      </c>
      <c r="I9" s="74">
        <v>4000</v>
      </c>
      <c r="J9" s="74">
        <f>Tableau1[[#This Row],[PU Vente]]-Tableau1[[#This Row],[PU Achat]]</f>
        <v>1500</v>
      </c>
      <c r="K9" s="72">
        <v>25</v>
      </c>
      <c r="L9" s="72">
        <f>SUMIF(Tableau2[Article],Tableau1[[#This Row],[Désignation]],Tableau2[Qté])</f>
        <v>7</v>
      </c>
      <c r="M9" s="72">
        <f>COUNTIFS(Tableau1[Qté vendu],"&gt;"&amp;Tableau1[Qté vendu])+1</f>
        <v>2</v>
      </c>
      <c r="N9" s="72">
        <f>IF(Tableau1[[#This Row],[Qté Stock]]&lt;Tableau1[[#This Row],[Qté min]],1,"")</f>
        <v>1</v>
      </c>
    </row>
    <row r="10" spans="2:22" x14ac:dyDescent="0.25">
      <c r="B10" s="72">
        <f>IF(Tableau1[[#This Row],[N° article]]&lt;&gt;"", ROW()-5,"")</f>
        <v>5</v>
      </c>
      <c r="C10" s="72" t="s">
        <v>45</v>
      </c>
      <c r="D10" s="72" t="s">
        <v>46</v>
      </c>
      <c r="E10" s="72" t="s">
        <v>59</v>
      </c>
      <c r="F10" s="72">
        <v>20</v>
      </c>
      <c r="G10" s="72" t="s">
        <v>34</v>
      </c>
      <c r="H10" s="74">
        <v>1000</v>
      </c>
      <c r="I10" s="74">
        <v>2500</v>
      </c>
      <c r="J10" s="74">
        <f>Tableau1[[#This Row],[PU Vente]]-Tableau1[[#This Row],[PU Achat]]</f>
        <v>1500</v>
      </c>
      <c r="K10" s="72">
        <v>15</v>
      </c>
      <c r="L10" s="72">
        <f>SUMIF(Tableau2[Article],Tableau1[[#This Row],[Désignation]],Tableau2[Qté])</f>
        <v>5</v>
      </c>
      <c r="M10" s="72">
        <f>COUNTIFS(Tableau1[Qté vendu],"&gt;"&amp;Tableau1[Qté vendu])+1</f>
        <v>3</v>
      </c>
      <c r="N10" s="72" t="str">
        <f>IF(Tableau1[[#This Row],[Qté Stock]]&lt;Tableau1[[#This Row],[Qté min]],1,"")</f>
        <v/>
      </c>
    </row>
    <row r="11" spans="2:22" x14ac:dyDescent="0.25">
      <c r="B11" s="72">
        <f>IF(Tableau1[[#This Row],[N° article]]&lt;&gt;"", ROW()-5,"")</f>
        <v>6</v>
      </c>
      <c r="C11" s="72" t="s">
        <v>42</v>
      </c>
      <c r="D11" s="72" t="s">
        <v>162</v>
      </c>
      <c r="E11" s="72" t="s">
        <v>85</v>
      </c>
      <c r="F11" s="72">
        <v>47</v>
      </c>
      <c r="G11" s="72" t="s">
        <v>163</v>
      </c>
      <c r="H11" s="74">
        <v>150</v>
      </c>
      <c r="I11" s="74">
        <v>200</v>
      </c>
      <c r="J11" s="74">
        <f>Tableau1[[#This Row],[PU Vente]]-Tableau1[[#This Row],[PU Achat]]</f>
        <v>50</v>
      </c>
      <c r="K11" s="72">
        <v>10</v>
      </c>
      <c r="L11" s="72">
        <f>SUMIF(Tableau2[Article],Tableau1[[#This Row],[Désignation]],Tableau2[Qté])</f>
        <v>0</v>
      </c>
      <c r="M11" s="72">
        <f>COUNTIFS(Tableau1[Qté vendu],"&gt;"&amp;Tableau1[Qté vendu])+1</f>
        <v>5</v>
      </c>
      <c r="N11" s="72" t="str">
        <f>IF(Tableau1[[#This Row],[Qté Stock]]&lt;Tableau1[[#This Row],[Qté min]],1,"")</f>
        <v/>
      </c>
    </row>
    <row r="12" spans="2:22" x14ac:dyDescent="0.25">
      <c r="B12" s="72">
        <f>IF(Tableau1[[#This Row],[N° article]]&lt;&gt;"", ROW()-5,"")</f>
        <v>7</v>
      </c>
      <c r="C12" s="72" t="s">
        <v>45</v>
      </c>
      <c r="D12" s="72" t="s">
        <v>164</v>
      </c>
      <c r="E12" s="72" t="s">
        <v>160</v>
      </c>
      <c r="F12" s="72">
        <v>4</v>
      </c>
      <c r="G12" s="72" t="s">
        <v>165</v>
      </c>
      <c r="H12" s="74">
        <v>300</v>
      </c>
      <c r="I12" s="74">
        <v>500</v>
      </c>
      <c r="J12" s="74">
        <f>Tableau1[[#This Row],[PU Vente]]-Tableau1[[#This Row],[PU Achat]]</f>
        <v>200</v>
      </c>
      <c r="K12" s="72">
        <v>5</v>
      </c>
      <c r="L12" s="72">
        <f>SUMIF(Tableau2[Article],Tableau1[[#This Row],[Désignation]],Tableau2[Qté])</f>
        <v>0</v>
      </c>
      <c r="M12" s="72">
        <f>COUNTIFS(Tableau1[Qté vendu],"&gt;"&amp;Tableau1[Qté vendu])+1</f>
        <v>5</v>
      </c>
      <c r="N12" s="72">
        <f>IF(Tableau1[[#This Row],[Qté Stock]]&lt;Tableau1[[#This Row],[Qté min]],1,"")</f>
        <v>1</v>
      </c>
    </row>
    <row r="13" spans="2:22" x14ac:dyDescent="0.25">
      <c r="E13" s="5"/>
      <c r="F13" s="5"/>
      <c r="G13" s="5"/>
      <c r="H13" s="1"/>
      <c r="I13" s="1"/>
      <c r="J13" s="1"/>
    </row>
    <row r="14" spans="2:22" x14ac:dyDescent="0.25">
      <c r="E14" s="5"/>
      <c r="F14" s="5"/>
      <c r="G14" s="5"/>
      <c r="H14" s="1"/>
      <c r="I14" s="1"/>
      <c r="J14" s="1"/>
    </row>
    <row r="15" spans="2:22" x14ac:dyDescent="0.25">
      <c r="E15" s="5"/>
      <c r="F15" s="5"/>
      <c r="G15" s="5"/>
      <c r="H15" s="1"/>
      <c r="I15" s="1"/>
      <c r="J15" s="1"/>
    </row>
    <row r="16" spans="2:22" x14ac:dyDescent="0.25">
      <c r="E16" s="5"/>
      <c r="F16" s="5"/>
      <c r="G16" s="5"/>
      <c r="H16" s="1"/>
      <c r="I16" s="1"/>
      <c r="J16" s="1"/>
    </row>
    <row r="17" spans="5:10" x14ac:dyDescent="0.25">
      <c r="E17" s="5"/>
      <c r="F17" s="5"/>
      <c r="G17" s="5"/>
      <c r="H17" s="1"/>
      <c r="I17" s="1"/>
      <c r="J17" s="1"/>
    </row>
  </sheetData>
  <conditionalFormatting sqref="O6:O12">
    <cfRule type="expression" dxfId="108" priority="11" stopIfTrue="1">
      <formula>$C6&lt;&gt;""</formula>
    </cfRule>
  </conditionalFormatting>
  <conditionalFormatting sqref="P6:V12">
    <cfRule type="expression" dxfId="107" priority="12">
      <formula>AND($C6&lt;&gt;"",$F6&lt;$K6,$F6&gt;=P$4)</formula>
    </cfRule>
    <cfRule type="expression" dxfId="106" priority="13">
      <formula>AND($C6&lt;&gt;"",$F6&gt;=$K6,$F6&gt;=P$4)</formula>
    </cfRule>
    <cfRule type="expression" dxfId="105" priority="14">
      <formula>$C6&lt;&gt;""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ddButton">
          <controlPr defaultSize="0" autoLine="0" r:id="rId5">
            <anchor>
              <from>
                <xdr:col>1</xdr:col>
                <xdr:colOff>0</xdr:colOff>
                <xdr:row>1</xdr:row>
                <xdr:rowOff>180975</xdr:rowOff>
              </from>
              <to>
                <xdr:col>2</xdr:col>
                <xdr:colOff>381000</xdr:colOff>
                <xdr:row>3</xdr:row>
                <xdr:rowOff>0</xdr:rowOff>
              </to>
            </anchor>
          </controlPr>
        </control>
      </mc:Choice>
      <mc:Fallback>
        <control shapeId="1026" r:id="rId4" name="addButton"/>
      </mc:Fallback>
    </mc:AlternateContent>
    <mc:AlternateContent xmlns:mc="http://schemas.openxmlformats.org/markup-compatibility/2006">
      <mc:Choice Requires="x14">
        <control shapeId="1029" r:id="rId6" name="deleteButton">
          <controlPr defaultSize="0" autoLine="0" r:id="rId7">
            <anchor>
              <from>
                <xdr:col>3</xdr:col>
                <xdr:colOff>571500</xdr:colOff>
                <xdr:row>1</xdr:row>
                <xdr:rowOff>180975</xdr:rowOff>
              </from>
              <to>
                <xdr:col>4</xdr:col>
                <xdr:colOff>342900</xdr:colOff>
                <xdr:row>3</xdr:row>
                <xdr:rowOff>0</xdr:rowOff>
              </to>
            </anchor>
          </controlPr>
        </control>
      </mc:Choice>
      <mc:Fallback>
        <control shapeId="1029" r:id="rId6" name="deleteButton"/>
      </mc:Fallback>
    </mc:AlternateContent>
    <mc:AlternateContent xmlns:mc="http://schemas.openxmlformats.org/markup-compatibility/2006">
      <mc:Choice Requires="x14">
        <control shapeId="1030" r:id="rId8" name="editButton">
          <controlPr defaultSize="0" autoLine="0" r:id="rId9">
            <anchor>
              <from>
                <xdr:col>2</xdr:col>
                <xdr:colOff>371475</xdr:colOff>
                <xdr:row>1</xdr:row>
                <xdr:rowOff>180975</xdr:rowOff>
              </from>
              <to>
                <xdr:col>3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1030" r:id="rId8" name="editButton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5E968512-2D8C-43C6-9C1C-1A02EC2D9CCC}">
            <x14:iconSet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N6:N12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76B99-B721-40DB-B7EF-B30106394372}">
  <sheetPr codeName="Feuil4"/>
  <dimension ref="B1:I13"/>
  <sheetViews>
    <sheetView showGridLines="0" workbookViewId="0">
      <selection activeCell="I16" sqref="I16"/>
    </sheetView>
  </sheetViews>
  <sheetFormatPr baseColWidth="10" defaultRowHeight="15" x14ac:dyDescent="0.25"/>
  <cols>
    <col min="2" max="2" width="8.7109375" customWidth="1"/>
    <col min="3" max="3" width="15.7109375" customWidth="1"/>
    <col min="4" max="4" width="14.28515625" customWidth="1"/>
    <col min="5" max="6" width="20.140625" customWidth="1"/>
    <col min="7" max="7" width="8.7109375" customWidth="1"/>
    <col min="8" max="9" width="20.140625" customWidth="1"/>
  </cols>
  <sheetData>
    <row r="1" spans="2:9" ht="42" customHeight="1" x14ac:dyDescent="0.25"/>
    <row r="3" spans="2:9" ht="24" customHeight="1" x14ac:dyDescent="0.25"/>
    <row r="4" spans="2:9" ht="9" customHeight="1" x14ac:dyDescent="0.25">
      <c r="B4" s="84"/>
      <c r="C4" s="84"/>
      <c r="D4" s="84"/>
      <c r="E4" s="84"/>
    </row>
    <row r="5" spans="2:9" ht="33" customHeight="1" x14ac:dyDescent="0.25">
      <c r="B5" s="76" t="s">
        <v>22</v>
      </c>
      <c r="C5" s="76" t="s">
        <v>36</v>
      </c>
      <c r="D5" s="76" t="s">
        <v>27</v>
      </c>
      <c r="E5" s="76" t="s">
        <v>17</v>
      </c>
      <c r="F5" s="76" t="s">
        <v>0</v>
      </c>
      <c r="G5" s="76" t="s">
        <v>77</v>
      </c>
      <c r="H5" s="76" t="s">
        <v>4</v>
      </c>
      <c r="I5" s="76" t="s">
        <v>29</v>
      </c>
    </row>
    <row r="6" spans="2:9" ht="15.75" x14ac:dyDescent="0.25">
      <c r="B6" s="72">
        <f>IF(Tableau2[[#This Row],[N° vente]]&lt;&gt;"", ROW()-5, "")</f>
        <v>1</v>
      </c>
      <c r="C6" s="72" t="s">
        <v>47</v>
      </c>
      <c r="D6" s="79">
        <v>44562</v>
      </c>
      <c r="E6" s="72" t="s">
        <v>46</v>
      </c>
      <c r="F6" s="72" t="s">
        <v>30</v>
      </c>
      <c r="G6" s="72">
        <v>2</v>
      </c>
      <c r="H6" s="74">
        <v>2500</v>
      </c>
      <c r="I6" s="74">
        <v>5000</v>
      </c>
    </row>
    <row r="7" spans="2:9" ht="15.75" x14ac:dyDescent="0.25">
      <c r="B7" s="72">
        <f>IF(Tableau2[[#This Row],[N° vente]]&lt;&gt;"", ROW()-5, "")</f>
        <v>2</v>
      </c>
      <c r="C7" s="72" t="s">
        <v>48</v>
      </c>
      <c r="D7" s="79">
        <v>44562</v>
      </c>
      <c r="E7" s="72" t="s">
        <v>43</v>
      </c>
      <c r="F7" s="72" t="s">
        <v>31</v>
      </c>
      <c r="G7" s="72">
        <v>4.5</v>
      </c>
      <c r="H7" s="74">
        <v>4000</v>
      </c>
      <c r="I7" s="74">
        <v>18000</v>
      </c>
    </row>
    <row r="8" spans="2:9" ht="15.75" x14ac:dyDescent="0.25">
      <c r="B8" s="72">
        <f>IF(Tableau2[[#This Row],[N° vente]]&lt;&gt;"", ROW()-5, "")</f>
        <v>3</v>
      </c>
      <c r="C8" s="72" t="s">
        <v>49</v>
      </c>
      <c r="D8" s="79">
        <v>44562</v>
      </c>
      <c r="E8" s="72" t="s">
        <v>33</v>
      </c>
      <c r="F8" s="72" t="s">
        <v>26</v>
      </c>
      <c r="G8" s="72">
        <v>1</v>
      </c>
      <c r="H8" s="74">
        <v>5800</v>
      </c>
      <c r="I8" s="74">
        <v>5800</v>
      </c>
    </row>
    <row r="9" spans="2:9" ht="15.75" x14ac:dyDescent="0.25">
      <c r="B9" s="72">
        <f>IF(Tableau2[[#This Row],[N° vente]]&lt;&gt;"", ROW()-5, "")</f>
        <v>4</v>
      </c>
      <c r="C9" s="72" t="s">
        <v>78</v>
      </c>
      <c r="D9" s="79">
        <v>44563</v>
      </c>
      <c r="E9" s="72" t="s">
        <v>40</v>
      </c>
      <c r="F9" s="72" t="s">
        <v>51</v>
      </c>
      <c r="G9" s="72">
        <v>7</v>
      </c>
      <c r="H9" s="74">
        <v>3000</v>
      </c>
      <c r="I9" s="74">
        <v>35000</v>
      </c>
    </row>
    <row r="10" spans="2:9" ht="15.75" x14ac:dyDescent="0.25">
      <c r="B10" s="72">
        <f>IF(Tableau2[[#This Row],[N° vente]]&lt;&gt;"", ROW()-5, "")</f>
        <v>5</v>
      </c>
      <c r="C10" s="72" t="s">
        <v>87</v>
      </c>
      <c r="D10" s="79">
        <v>44891.698506944442</v>
      </c>
      <c r="E10" s="72" t="s">
        <v>43</v>
      </c>
      <c r="F10" s="72" t="s">
        <v>31</v>
      </c>
      <c r="G10" s="72">
        <v>2.5</v>
      </c>
      <c r="H10" s="74">
        <v>4000</v>
      </c>
      <c r="I10" s="74">
        <v>10000</v>
      </c>
    </row>
    <row r="11" spans="2:9" ht="15.75" x14ac:dyDescent="0.25">
      <c r="B11" s="72">
        <f>IF(Tableau2[[#This Row],[N° vente]]&lt;&gt;"", ROW()-5, "")</f>
        <v>6</v>
      </c>
      <c r="C11" s="72" t="s">
        <v>153</v>
      </c>
      <c r="D11" s="79">
        <v>37917</v>
      </c>
      <c r="E11" s="72" t="s">
        <v>46</v>
      </c>
      <c r="F11" s="72" t="s">
        <v>30</v>
      </c>
      <c r="G11" s="72">
        <v>3</v>
      </c>
      <c r="H11" s="74">
        <v>2500</v>
      </c>
      <c r="I11" s="74">
        <v>7500</v>
      </c>
    </row>
    <row r="12" spans="2:9" ht="15.75" x14ac:dyDescent="0.25">
      <c r="B12" s="72">
        <f>IF(Tableau2[[#This Row],[N° vente]]&lt;&gt;"", ROW()-5, "")</f>
        <v>7</v>
      </c>
      <c r="C12" s="72" t="s">
        <v>166</v>
      </c>
      <c r="D12" s="79">
        <v>44905.40625</v>
      </c>
      <c r="E12" s="72" t="s">
        <v>40</v>
      </c>
      <c r="F12" s="72" t="s">
        <v>51</v>
      </c>
      <c r="G12" s="72">
        <v>2</v>
      </c>
      <c r="H12" s="74">
        <v>5000</v>
      </c>
      <c r="I12" s="74">
        <v>10000</v>
      </c>
    </row>
    <row r="13" spans="2:9" ht="15.75" x14ac:dyDescent="0.25">
      <c r="B13" s="72">
        <f>IF(Tableau2[[#This Row],[N° vente]]&lt;&gt;"", ROW()-5, "")</f>
        <v>8</v>
      </c>
      <c r="C13" s="72" t="s">
        <v>170</v>
      </c>
      <c r="D13" s="79">
        <v>44905.710324074076</v>
      </c>
      <c r="E13" s="72" t="s">
        <v>40</v>
      </c>
      <c r="F13" s="72" t="s">
        <v>51</v>
      </c>
      <c r="G13" s="72">
        <v>12</v>
      </c>
      <c r="H13" s="74">
        <v>5000</v>
      </c>
      <c r="I13" s="74">
        <v>60000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addButton">
          <controlPr defaultSize="0" autoLine="0" r:id="rId5">
            <anchor>
              <from>
                <xdr:col>1</xdr:col>
                <xdr:colOff>0</xdr:colOff>
                <xdr:row>1</xdr:row>
                <xdr:rowOff>171450</xdr:rowOff>
              </from>
              <to>
                <xdr:col>2</xdr:col>
                <xdr:colOff>381000</xdr:colOff>
                <xdr:row>3</xdr:row>
                <xdr:rowOff>0</xdr:rowOff>
              </to>
            </anchor>
          </controlPr>
        </control>
      </mc:Choice>
      <mc:Fallback>
        <control shapeId="4097" r:id="rId4" name="addButton"/>
      </mc:Fallback>
    </mc:AlternateContent>
    <mc:AlternateContent xmlns:mc="http://schemas.openxmlformats.org/markup-compatibility/2006">
      <mc:Choice Requires="x14">
        <control shapeId="4098" r:id="rId6" name="deleteButton">
          <controlPr defaultSize="0" autoLine="0" r:id="rId7">
            <anchor>
              <from>
                <xdr:col>3</xdr:col>
                <xdr:colOff>295275</xdr:colOff>
                <xdr:row>1</xdr:row>
                <xdr:rowOff>171450</xdr:rowOff>
              </from>
              <to>
                <xdr:col>4</xdr:col>
                <xdr:colOff>304800</xdr:colOff>
                <xdr:row>3</xdr:row>
                <xdr:rowOff>0</xdr:rowOff>
              </to>
            </anchor>
          </controlPr>
        </control>
      </mc:Choice>
      <mc:Fallback>
        <control shapeId="4098" r:id="rId6" name="deleteButton"/>
      </mc:Fallback>
    </mc:AlternateContent>
    <mc:AlternateContent xmlns:mc="http://schemas.openxmlformats.org/markup-compatibility/2006">
      <mc:Choice Requires="x14">
        <control shapeId="4099" r:id="rId8" name="editButton">
          <controlPr defaultSize="0" autoLine="0" r:id="rId9">
            <anchor>
              <from>
                <xdr:col>2</xdr:col>
                <xdr:colOff>381000</xdr:colOff>
                <xdr:row>1</xdr:row>
                <xdr:rowOff>171450</xdr:rowOff>
              </from>
              <to>
                <xdr:col>3</xdr:col>
                <xdr:colOff>295275</xdr:colOff>
                <xdr:row>3</xdr:row>
                <xdr:rowOff>0</xdr:rowOff>
              </to>
            </anchor>
          </controlPr>
        </control>
      </mc:Choice>
      <mc:Fallback>
        <control shapeId="4099" r:id="rId8" name="editButton"/>
      </mc:Fallback>
    </mc:AlternateContent>
  </controls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9E6C-8579-4123-A0FC-EA5A6CF53FA2}">
  <sheetPr codeName="Feuil7">
    <pageSetUpPr fitToPage="1"/>
  </sheetPr>
  <dimension ref="B1:K29"/>
  <sheetViews>
    <sheetView showGridLines="0" zoomScale="80" zoomScaleNormal="80" workbookViewId="0">
      <selection activeCell="O22" sqref="O22"/>
    </sheetView>
  </sheetViews>
  <sheetFormatPr baseColWidth="10" defaultRowHeight="15" x14ac:dyDescent="0.25"/>
  <cols>
    <col min="2" max="2" width="8.7109375" customWidth="1"/>
    <col min="3" max="3" width="15.7109375" customWidth="1"/>
    <col min="4" max="5" width="17.85546875" customWidth="1"/>
    <col min="6" max="6" width="8.7109375" customWidth="1"/>
    <col min="7" max="8" width="16.7109375" customWidth="1"/>
    <col min="9" max="9" width="11.42578125" customWidth="1"/>
  </cols>
  <sheetData>
    <row r="1" spans="2:11" ht="42" customHeight="1" x14ac:dyDescent="0.25"/>
    <row r="4" spans="2:11" ht="15.75" thickBot="1" x14ac:dyDescent="0.3"/>
    <row r="5" spans="2:11" ht="26.25" thickBot="1" x14ac:dyDescent="0.35">
      <c r="B5" s="28"/>
      <c r="C5" s="28"/>
      <c r="D5" s="28"/>
      <c r="F5" s="98" t="s">
        <v>84</v>
      </c>
      <c r="G5" s="99"/>
      <c r="H5" s="100"/>
    </row>
    <row r="7" spans="2:11" ht="23.25" customHeight="1" x14ac:dyDescent="0.25">
      <c r="G7" s="22" t="s">
        <v>61</v>
      </c>
      <c r="H7" s="10">
        <v>44905.40625</v>
      </c>
      <c r="K7" s="71"/>
    </row>
    <row r="8" spans="2:11" ht="18.75" x14ac:dyDescent="0.25">
      <c r="D8" s="101" t="s">
        <v>75</v>
      </c>
      <c r="E8" s="101"/>
    </row>
    <row r="9" spans="2:11" ht="15.75" x14ac:dyDescent="0.25">
      <c r="D9" s="102" t="str">
        <f>Paramètres!C31</f>
        <v>Bar</v>
      </c>
      <c r="E9" s="102"/>
    </row>
    <row r="10" spans="2:11" ht="15.75" x14ac:dyDescent="0.25">
      <c r="D10" s="103" t="str">
        <f>Paramètres!C32</f>
        <v>Lot IB 10/0101 Ambatomena</v>
      </c>
      <c r="E10" s="103"/>
    </row>
    <row r="11" spans="2:11" ht="15.75" x14ac:dyDescent="0.25">
      <c r="D11" s="103" t="str">
        <f>Paramètres!C33</f>
        <v>Fianarantsoa</v>
      </c>
      <c r="E11" s="103"/>
    </row>
    <row r="12" spans="2:11" ht="15.75" x14ac:dyDescent="0.25">
      <c r="D12" s="104">
        <f>Paramètres!C34</f>
        <v>41234567</v>
      </c>
      <c r="E12" s="104"/>
    </row>
    <row r="13" spans="2:11" ht="15.75" x14ac:dyDescent="0.25">
      <c r="D13" s="103" t="str">
        <f>Paramètres!C35</f>
        <v>pseudo@gmail.com</v>
      </c>
      <c r="E13" s="103"/>
    </row>
    <row r="14" spans="2:11" ht="15.75" x14ac:dyDescent="0.25">
      <c r="D14" s="103" t="str">
        <f>Paramètres!C36</f>
        <v>Pseudo FB</v>
      </c>
      <c r="E14" s="103"/>
    </row>
    <row r="16" spans="2:11" ht="21.75" customHeight="1" x14ac:dyDescent="0.25">
      <c r="B16" s="21" t="s">
        <v>64</v>
      </c>
      <c r="C16" s="21" t="s">
        <v>36</v>
      </c>
      <c r="D16" s="21" t="s">
        <v>17</v>
      </c>
      <c r="E16" s="21" t="s">
        <v>0</v>
      </c>
      <c r="F16" s="21" t="s">
        <v>77</v>
      </c>
      <c r="G16" s="21" t="s">
        <v>80</v>
      </c>
      <c r="H16" s="21" t="s">
        <v>79</v>
      </c>
    </row>
    <row r="17" spans="2:11" ht="31.5" x14ac:dyDescent="0.25">
      <c r="B17" s="72">
        <f>IF(Tableau7[[#This Row],[N° vente]]&lt;&gt;"",ROW()-16,"")</f>
        <v>1</v>
      </c>
      <c r="C17" s="72" t="s">
        <v>171</v>
      </c>
      <c r="D17" s="72" t="s">
        <v>40</v>
      </c>
      <c r="E17" s="72" t="s">
        <v>51</v>
      </c>
      <c r="F17" s="72">
        <v>14</v>
      </c>
      <c r="G17" s="74">
        <v>70000</v>
      </c>
      <c r="H17" s="74">
        <f t="array" ref="H17">IF(Tableau7[[#This Row],[N°]]&lt;&gt;"",PRODUCT(IFERROR(VLOOKUP(Tableau7[[#This Row],[Article]],Tableau1[[Désignation]:[Marge]],7,0),0),Tableau7[[#This Row],[Qté]]),"")</f>
        <v>28000</v>
      </c>
    </row>
    <row r="20" spans="2:11" ht="17.25" customHeight="1" x14ac:dyDescent="0.25">
      <c r="B20" s="7"/>
      <c r="C20" s="7"/>
      <c r="D20" s="7"/>
      <c r="E20" s="89"/>
      <c r="F20" s="96" t="s">
        <v>174</v>
      </c>
      <c r="G20" s="90" t="s">
        <v>152</v>
      </c>
      <c r="H20" s="93">
        <f>SUM(Tableau7[Prix])</f>
        <v>70000</v>
      </c>
    </row>
    <row r="21" spans="2:11" ht="17.25" customHeight="1" x14ac:dyDescent="0.25">
      <c r="F21" s="105"/>
      <c r="G21" s="90" t="s">
        <v>151</v>
      </c>
      <c r="H21" s="93">
        <f>SUM(Tableau7[Bénéfice])</f>
        <v>28000</v>
      </c>
    </row>
    <row r="22" spans="2:11" ht="17.25" customHeight="1" x14ac:dyDescent="0.25">
      <c r="F22" s="97"/>
      <c r="G22" s="90" t="s">
        <v>85</v>
      </c>
      <c r="H22" s="93">
        <v>20</v>
      </c>
      <c r="K22" s="87"/>
    </row>
    <row r="23" spans="2:11" ht="17.25" customHeight="1" x14ac:dyDescent="0.25">
      <c r="F23" s="94" t="s">
        <v>177</v>
      </c>
      <c r="G23" s="95"/>
      <c r="H23" s="93">
        <f>SUM(H20,H22)</f>
        <v>70020</v>
      </c>
    </row>
    <row r="25" spans="2:11" ht="17.25" customHeight="1" x14ac:dyDescent="0.25">
      <c r="F25" s="91" t="s">
        <v>176</v>
      </c>
      <c r="G25" s="88" t="s">
        <v>82</v>
      </c>
      <c r="H25" s="93">
        <v>0</v>
      </c>
    </row>
    <row r="26" spans="2:11" ht="17.25" customHeight="1" x14ac:dyDescent="0.25">
      <c r="F26" s="94" t="s">
        <v>178</v>
      </c>
      <c r="G26" s="95"/>
      <c r="H26" s="93">
        <f>H25</f>
        <v>0</v>
      </c>
    </row>
    <row r="28" spans="2:11" ht="17.25" customHeight="1" x14ac:dyDescent="0.25">
      <c r="F28" s="96" t="s">
        <v>181</v>
      </c>
      <c r="G28" s="90" t="s">
        <v>83</v>
      </c>
      <c r="H28" s="93">
        <f>H21-H26</f>
        <v>28000</v>
      </c>
    </row>
    <row r="29" spans="2:11" ht="17.25" customHeight="1" x14ac:dyDescent="0.25">
      <c r="F29" s="97"/>
      <c r="G29" s="90" t="s">
        <v>150</v>
      </c>
      <c r="H29" s="93">
        <f>Paramètres!$E$42</f>
        <v>321600</v>
      </c>
    </row>
  </sheetData>
  <mergeCells count="12">
    <mergeCell ref="F26:G26"/>
    <mergeCell ref="F28:F29"/>
    <mergeCell ref="F5:H5"/>
    <mergeCell ref="D8:E8"/>
    <mergeCell ref="D9:E9"/>
    <mergeCell ref="D10:E10"/>
    <mergeCell ref="D11:E11"/>
    <mergeCell ref="D12:E12"/>
    <mergeCell ref="F23:G23"/>
    <mergeCell ref="D13:E13"/>
    <mergeCell ref="D14:E14"/>
    <mergeCell ref="F20:F22"/>
  </mergeCells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" r:id="rId4" name="showButton">
          <controlPr defaultSize="0" print="0" autoLine="0" r:id="rId5">
            <anchor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333375</xdr:colOff>
                <xdr:row>7</xdr:row>
                <xdr:rowOff>9525</xdr:rowOff>
              </to>
            </anchor>
          </controlPr>
        </control>
      </mc:Choice>
      <mc:Fallback>
        <control shapeId="5132" r:id="rId4" name="showButton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4C7437-7A50-4D24-9C6D-9BD89A6D147B}">
          <x14:formula1>
            <xm:f>Ventes!$D$6:$D$1000011</xm:f>
          </x14:formula1>
          <xm:sqref>H7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3FDF8-C23D-4A02-ACB3-B35577F1D8C3}">
  <sheetPr codeName="Feuil9">
    <pageSetUpPr fitToPage="1"/>
  </sheetPr>
  <dimension ref="B1:K32"/>
  <sheetViews>
    <sheetView showGridLines="0" zoomScaleNormal="100" workbookViewId="0">
      <selection activeCell="H20" sqref="H20"/>
    </sheetView>
  </sheetViews>
  <sheetFormatPr baseColWidth="10" defaultRowHeight="15" x14ac:dyDescent="0.25"/>
  <cols>
    <col min="2" max="2" width="8.7109375" customWidth="1"/>
    <col min="3" max="3" width="15.7109375" customWidth="1"/>
    <col min="4" max="5" width="17.85546875" customWidth="1"/>
    <col min="6" max="6" width="8.7109375" customWidth="1"/>
    <col min="7" max="8" width="16.7109375" customWidth="1"/>
  </cols>
  <sheetData>
    <row r="1" spans="2:11" ht="42" customHeight="1" x14ac:dyDescent="0.25"/>
    <row r="4" spans="2:11" ht="15.75" thickBot="1" x14ac:dyDescent="0.3"/>
    <row r="5" spans="2:11" ht="26.25" thickBot="1" x14ac:dyDescent="0.3">
      <c r="F5" s="98" t="s">
        <v>116</v>
      </c>
      <c r="G5" s="99"/>
      <c r="H5" s="100"/>
      <c r="I5" s="24"/>
    </row>
    <row r="7" spans="2:11" ht="23.25" customHeight="1" x14ac:dyDescent="0.25">
      <c r="G7" s="22" t="s">
        <v>149</v>
      </c>
      <c r="H7" s="18">
        <v>37917</v>
      </c>
      <c r="K7" s="71"/>
    </row>
    <row r="8" spans="2:11" ht="18.75" x14ac:dyDescent="0.25">
      <c r="D8" s="101" t="s">
        <v>75</v>
      </c>
      <c r="E8" s="101"/>
    </row>
    <row r="9" spans="2:11" ht="15.75" x14ac:dyDescent="0.25">
      <c r="D9" s="102" t="str">
        <f>Paramètres!C31</f>
        <v>Bar</v>
      </c>
      <c r="E9" s="102"/>
    </row>
    <row r="10" spans="2:11" ht="15.75" x14ac:dyDescent="0.25">
      <c r="D10" s="103" t="str">
        <f>Paramètres!C32</f>
        <v>Lot IB 10/0101 Ambatomena</v>
      </c>
      <c r="E10" s="103"/>
      <c r="F10" s="20"/>
    </row>
    <row r="11" spans="2:11" ht="15.75" x14ac:dyDescent="0.25">
      <c r="D11" s="103" t="str">
        <f>Paramètres!C33</f>
        <v>Fianarantsoa</v>
      </c>
      <c r="E11" s="103"/>
      <c r="F11" s="20"/>
    </row>
    <row r="12" spans="2:11" ht="15.75" x14ac:dyDescent="0.25">
      <c r="D12" s="104">
        <f>Paramètres!C34</f>
        <v>41234567</v>
      </c>
      <c r="E12" s="104"/>
      <c r="F12" s="19"/>
    </row>
    <row r="13" spans="2:11" ht="15.75" x14ac:dyDescent="0.25">
      <c r="D13" s="103" t="str">
        <f>Paramètres!C35</f>
        <v>pseudo@gmail.com</v>
      </c>
      <c r="E13" s="103"/>
      <c r="F13" s="20"/>
    </row>
    <row r="14" spans="2:11" ht="15.75" x14ac:dyDescent="0.25">
      <c r="D14" s="103" t="str">
        <f>Paramètres!C36</f>
        <v>Pseudo FB</v>
      </c>
      <c r="E14" s="103"/>
      <c r="F14" s="20"/>
    </row>
    <row r="16" spans="2:11" ht="21.75" customHeight="1" x14ac:dyDescent="0.25">
      <c r="B16" s="21" t="s">
        <v>64</v>
      </c>
      <c r="C16" s="21" t="s">
        <v>36</v>
      </c>
      <c r="D16" s="21" t="s">
        <v>17</v>
      </c>
      <c r="E16" s="21" t="s">
        <v>0</v>
      </c>
      <c r="F16" s="21" t="s">
        <v>77</v>
      </c>
      <c r="G16" s="21" t="s">
        <v>80</v>
      </c>
      <c r="H16" s="21" t="s">
        <v>79</v>
      </c>
    </row>
    <row r="17" spans="2:8" ht="15.75" x14ac:dyDescent="0.25">
      <c r="B17" s="72">
        <f>IF(Tableau5[[#This Row],[N° vente]]&lt;&gt;"",ROW()-16,"")</f>
        <v>1</v>
      </c>
      <c r="C17" s="72" t="s">
        <v>153</v>
      </c>
      <c r="D17" s="72" t="s">
        <v>46</v>
      </c>
      <c r="E17" s="72" t="s">
        <v>30</v>
      </c>
      <c r="F17" s="72">
        <v>3</v>
      </c>
      <c r="G17" s="74">
        <v>7500</v>
      </c>
      <c r="H17" s="74">
        <f t="array" ref="H17">IF(Tableau5[[#This Row],[N°]]&lt;&gt;"",PRODUCT(IFERROR(VLOOKUP(Tableau5[[#This Row],[Article]],Tableau1[[Désignation]:[Marge]],7,0),0),Tableau5[[#This Row],[Qté]]),"")</f>
        <v>4500</v>
      </c>
    </row>
    <row r="19" spans="2:8" x14ac:dyDescent="0.25">
      <c r="C19" s="23"/>
      <c r="H19" s="23"/>
    </row>
    <row r="20" spans="2:8" ht="15.75" x14ac:dyDescent="0.25">
      <c r="B20" s="7"/>
      <c r="C20" s="7"/>
      <c r="D20" s="7"/>
      <c r="E20" s="7"/>
      <c r="F20" s="96" t="s">
        <v>174</v>
      </c>
      <c r="G20" s="90" t="s">
        <v>152</v>
      </c>
      <c r="H20" s="92">
        <f>SUM(Tableau5[Prix])</f>
        <v>7500</v>
      </c>
    </row>
    <row r="21" spans="2:8" ht="15.75" x14ac:dyDescent="0.25">
      <c r="F21" s="105"/>
      <c r="G21" s="90" t="s">
        <v>151</v>
      </c>
      <c r="H21" s="92">
        <f>SUM(Tableau5[Bénéfice])</f>
        <v>4500</v>
      </c>
    </row>
    <row r="22" spans="2:8" ht="15.75" x14ac:dyDescent="0.25">
      <c r="F22" s="97"/>
      <c r="G22" s="90" t="s">
        <v>85</v>
      </c>
      <c r="H22" s="92">
        <v>0</v>
      </c>
    </row>
    <row r="23" spans="2:8" ht="16.5" x14ac:dyDescent="0.25">
      <c r="F23" s="94" t="s">
        <v>173</v>
      </c>
      <c r="G23" s="95"/>
      <c r="H23" s="92">
        <f>SUM(H20,H22)</f>
        <v>7500</v>
      </c>
    </row>
    <row r="25" spans="2:8" ht="15.75" x14ac:dyDescent="0.25">
      <c r="F25" s="96" t="s">
        <v>176</v>
      </c>
      <c r="G25" s="90" t="s">
        <v>82</v>
      </c>
      <c r="H25" s="93">
        <v>0</v>
      </c>
    </row>
    <row r="26" spans="2:8" ht="15.75" x14ac:dyDescent="0.25">
      <c r="F26" s="97"/>
      <c r="G26" s="90" t="s">
        <v>175</v>
      </c>
      <c r="H26" s="93">
        <v>0</v>
      </c>
    </row>
    <row r="27" spans="2:8" ht="16.5" x14ac:dyDescent="0.25">
      <c r="F27" s="94" t="s">
        <v>178</v>
      </c>
      <c r="G27" s="95"/>
      <c r="H27" s="93">
        <f>SUM(H25,H26)</f>
        <v>0</v>
      </c>
    </row>
    <row r="29" spans="2:8" ht="15.75" x14ac:dyDescent="0.25">
      <c r="F29" s="96" t="s">
        <v>181</v>
      </c>
      <c r="G29" s="90" t="s">
        <v>83</v>
      </c>
      <c r="H29" s="93">
        <f>H21-H26</f>
        <v>4500</v>
      </c>
    </row>
    <row r="30" spans="2:8" ht="15.75" x14ac:dyDescent="0.25">
      <c r="F30" s="105"/>
      <c r="G30" s="90" t="s">
        <v>150</v>
      </c>
      <c r="H30" s="93">
        <f>Paramètres!$E$42</f>
        <v>321600</v>
      </c>
    </row>
    <row r="31" spans="2:8" ht="15.75" x14ac:dyDescent="0.25">
      <c r="F31" s="105"/>
      <c r="G31" s="90" t="s">
        <v>179</v>
      </c>
      <c r="H31" s="93">
        <v>0</v>
      </c>
    </row>
    <row r="32" spans="2:8" ht="15.75" x14ac:dyDescent="0.25">
      <c r="F32" s="97"/>
      <c r="G32" s="90" t="s">
        <v>180</v>
      </c>
      <c r="H32" s="93">
        <f>SUM(H30,H31)-H25</f>
        <v>321600</v>
      </c>
    </row>
  </sheetData>
  <mergeCells count="13">
    <mergeCell ref="F25:F26"/>
    <mergeCell ref="F27:G27"/>
    <mergeCell ref="F29:F32"/>
    <mergeCell ref="F5:H5"/>
    <mergeCell ref="D8:E8"/>
    <mergeCell ref="F23:G23"/>
    <mergeCell ref="D9:E9"/>
    <mergeCell ref="D10:E10"/>
    <mergeCell ref="D11:E11"/>
    <mergeCell ref="D12:E12"/>
    <mergeCell ref="D13:E13"/>
    <mergeCell ref="D14:E14"/>
    <mergeCell ref="F20:F22"/>
  </mergeCells>
  <pageMargins left="0.23622047244094491" right="0.23622047244094491" top="0.74803149606299213" bottom="0.74803149606299213" header="0.31496062992125984" footer="0.31496062992125984"/>
  <pageSetup paperSize="9" scale="9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showButton">
          <controlPr defaultSize="0" print="0" autoLine="0" r:id="rId5">
            <anchor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333375</xdr:colOff>
                <xdr:row>7</xdr:row>
                <xdr:rowOff>9525</xdr:rowOff>
              </to>
            </anchor>
          </controlPr>
        </control>
      </mc:Choice>
      <mc:Fallback>
        <control shapeId="13315" r:id="rId4" name="showButton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3F28F5-F1AB-4FA7-9B15-E3119A70B3C7}">
          <x14:formula1>
            <xm:f>Ventes!$D$6:$D$1000011</xm:f>
          </x14:formula1>
          <xm:sqref>H7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1CCD-68DD-4CF0-890D-E654379AE0B3}">
  <sheetPr codeName="Feuil5"/>
  <dimension ref="B1:K18"/>
  <sheetViews>
    <sheetView showGridLines="0" zoomScaleNormal="100" workbookViewId="0">
      <selection activeCell="P5" sqref="P5"/>
    </sheetView>
  </sheetViews>
  <sheetFormatPr baseColWidth="10" defaultRowHeight="15.75" x14ac:dyDescent="0.25"/>
  <cols>
    <col min="1" max="1" width="11.42578125" style="6"/>
    <col min="2" max="2" width="8.7109375" style="6" customWidth="1"/>
    <col min="3" max="6" width="17.85546875" style="6" customWidth="1"/>
    <col min="7" max="8" width="9.7109375" style="6" customWidth="1"/>
    <col min="9" max="10" width="15.28515625" style="6" customWidth="1"/>
    <col min="11" max="11" width="9.7109375" style="6" customWidth="1"/>
    <col min="12" max="16384" width="11.42578125" style="6"/>
  </cols>
  <sheetData>
    <row r="1" spans="2:11" ht="42" customHeight="1" x14ac:dyDescent="0.25"/>
    <row r="3" spans="2:11" ht="24" customHeight="1" x14ac:dyDescent="0.25"/>
    <row r="4" spans="2:11" ht="9" customHeight="1" x14ac:dyDescent="0.25">
      <c r="B4" s="86"/>
      <c r="C4" s="86"/>
      <c r="D4" s="86"/>
      <c r="E4" s="86"/>
    </row>
    <row r="5" spans="2:11" ht="33" customHeight="1" x14ac:dyDescent="0.25">
      <c r="B5" s="80" t="s">
        <v>22</v>
      </c>
      <c r="C5" s="81" t="s">
        <v>52</v>
      </c>
      <c r="D5" s="81" t="s">
        <v>27</v>
      </c>
      <c r="E5" s="81" t="s">
        <v>17</v>
      </c>
      <c r="F5" s="81" t="s">
        <v>0</v>
      </c>
      <c r="G5" s="81" t="s">
        <v>154</v>
      </c>
      <c r="H5" s="81" t="s">
        <v>157</v>
      </c>
      <c r="I5" s="81" t="s">
        <v>155</v>
      </c>
      <c r="J5" s="82" t="s">
        <v>29</v>
      </c>
      <c r="K5" s="81" t="s">
        <v>86</v>
      </c>
    </row>
    <row r="6" spans="2:11" x14ac:dyDescent="0.25">
      <c r="B6" s="72">
        <f>IF(Tableau4[[#This Row],[N° commande]]&lt;&gt;"", ROW()-5, "")</f>
        <v>1</v>
      </c>
      <c r="C6" s="72" t="s">
        <v>63</v>
      </c>
      <c r="D6" s="79">
        <v>44888.986354166664</v>
      </c>
      <c r="E6" s="72" t="s">
        <v>32</v>
      </c>
      <c r="F6" s="72" t="s">
        <v>58</v>
      </c>
      <c r="G6" s="72">
        <v>12</v>
      </c>
      <c r="H6" s="72">
        <v>10</v>
      </c>
      <c r="I6" s="74">
        <v>3500</v>
      </c>
      <c r="J6" s="74">
        <v>35000</v>
      </c>
      <c r="K6" s="72" t="s">
        <v>167</v>
      </c>
    </row>
    <row r="7" spans="2:11" x14ac:dyDescent="0.25">
      <c r="B7" s="72">
        <f>IF(Tableau4[[#This Row],[N° commande]]&lt;&gt;"", ROW()-5, "")</f>
        <v>2</v>
      </c>
      <c r="C7" s="72" t="s">
        <v>63</v>
      </c>
      <c r="D7" s="79">
        <v>44888.986354166664</v>
      </c>
      <c r="E7" s="72" t="s">
        <v>40</v>
      </c>
      <c r="F7" s="72" t="s">
        <v>51</v>
      </c>
      <c r="G7" s="72">
        <v>20</v>
      </c>
      <c r="H7" s="72">
        <v>5</v>
      </c>
      <c r="I7" s="74">
        <v>3000</v>
      </c>
      <c r="J7" s="74">
        <v>15000</v>
      </c>
      <c r="K7" s="72" t="s">
        <v>167</v>
      </c>
    </row>
    <row r="8" spans="2:11" x14ac:dyDescent="0.25">
      <c r="B8" s="72">
        <f>IF(Tableau4[[#This Row],[N° commande]]&lt;&gt;"", ROW()-5, "")</f>
        <v>3</v>
      </c>
      <c r="C8" s="72" t="s">
        <v>63</v>
      </c>
      <c r="D8" s="79">
        <v>44888.986354166664</v>
      </c>
      <c r="E8" s="72" t="s">
        <v>33</v>
      </c>
      <c r="F8" s="72" t="s">
        <v>56</v>
      </c>
      <c r="G8" s="72">
        <v>1</v>
      </c>
      <c r="H8" s="72">
        <v>13</v>
      </c>
      <c r="I8" s="74">
        <v>5000</v>
      </c>
      <c r="J8" s="74">
        <v>65000</v>
      </c>
      <c r="K8" s="72" t="s">
        <v>167</v>
      </c>
    </row>
    <row r="9" spans="2:11" x14ac:dyDescent="0.25">
      <c r="B9" s="72">
        <f>IF(Tableau4[[#This Row],[N° commande]]&lt;&gt;"", ROW()-5, "")</f>
        <v>4</v>
      </c>
      <c r="C9" s="72" t="s">
        <v>76</v>
      </c>
      <c r="D9" s="79">
        <v>44889</v>
      </c>
      <c r="E9" s="72" t="s">
        <v>46</v>
      </c>
      <c r="F9" s="72" t="s">
        <v>59</v>
      </c>
      <c r="G9" s="72">
        <v>1</v>
      </c>
      <c r="H9" s="72">
        <v>20</v>
      </c>
      <c r="I9" s="74">
        <v>1000</v>
      </c>
      <c r="J9" s="74">
        <v>20000</v>
      </c>
      <c r="K9" s="72" t="s">
        <v>167</v>
      </c>
    </row>
    <row r="10" spans="2:11" x14ac:dyDescent="0.25">
      <c r="B10" s="72">
        <f>IF(Tableau4[[#This Row],[N° commande]]&lt;&gt;"", ROW()-5, "")</f>
        <v>5</v>
      </c>
      <c r="C10" s="72" t="s">
        <v>76</v>
      </c>
      <c r="D10" s="79">
        <v>44889</v>
      </c>
      <c r="E10" s="72" t="s">
        <v>40</v>
      </c>
      <c r="F10" s="72" t="s">
        <v>51</v>
      </c>
      <c r="G10" s="72">
        <v>1</v>
      </c>
      <c r="H10" s="72">
        <v>20</v>
      </c>
      <c r="I10" s="74">
        <v>1000</v>
      </c>
      <c r="J10" s="74">
        <v>20000</v>
      </c>
      <c r="K10" s="72" t="s">
        <v>167</v>
      </c>
    </row>
    <row r="11" spans="2:11" x14ac:dyDescent="0.25">
      <c r="B11" s="72">
        <f>IF(Tableau4[[#This Row],[N° commande]]&lt;&gt;"", ROW()-5, "")</f>
        <v>6</v>
      </c>
      <c r="C11" s="72" t="s">
        <v>76</v>
      </c>
      <c r="D11" s="79">
        <v>44891.703298611108</v>
      </c>
      <c r="E11" s="72" t="s">
        <v>33</v>
      </c>
      <c r="F11" s="72" t="s">
        <v>56</v>
      </c>
      <c r="G11" s="72">
        <v>1</v>
      </c>
      <c r="H11" s="72">
        <v>13</v>
      </c>
      <c r="I11" s="74">
        <v>5000</v>
      </c>
      <c r="J11" s="74">
        <v>65000</v>
      </c>
      <c r="K11" s="72" t="s">
        <v>169</v>
      </c>
    </row>
    <row r="12" spans="2:11" x14ac:dyDescent="0.25">
      <c r="B12" s="72">
        <f>IF(Tableau4[[#This Row],[N° commande]]&lt;&gt;"", ROW()-5, "")</f>
        <v>7</v>
      </c>
      <c r="C12" s="72" t="s">
        <v>76</v>
      </c>
      <c r="D12" s="79">
        <v>44891.703298611108</v>
      </c>
      <c r="E12" s="72" t="s">
        <v>40</v>
      </c>
      <c r="F12" s="72" t="s">
        <v>51</v>
      </c>
      <c r="G12" s="72">
        <v>20</v>
      </c>
      <c r="H12" s="72">
        <v>12</v>
      </c>
      <c r="I12" s="74">
        <v>3000</v>
      </c>
      <c r="J12" s="74">
        <v>36000</v>
      </c>
      <c r="K12" s="72" t="s">
        <v>167</v>
      </c>
    </row>
    <row r="13" spans="2:11" x14ac:dyDescent="0.25">
      <c r="B13" s="72">
        <f>IF(Tableau4[[#This Row],[N° commande]]&lt;&gt;"", ROW()-5, "")</f>
        <v>8</v>
      </c>
      <c r="C13" s="72" t="s">
        <v>76</v>
      </c>
      <c r="D13" s="79">
        <v>44891.703298611108</v>
      </c>
      <c r="E13" s="72" t="s">
        <v>46</v>
      </c>
      <c r="F13" s="72" t="s">
        <v>59</v>
      </c>
      <c r="G13" s="72">
        <v>0</v>
      </c>
      <c r="H13" s="72">
        <v>45</v>
      </c>
      <c r="I13" s="74">
        <v>1000</v>
      </c>
      <c r="J13" s="74">
        <v>45000</v>
      </c>
      <c r="K13" s="72" t="s">
        <v>167</v>
      </c>
    </row>
    <row r="14" spans="2:11" x14ac:dyDescent="0.25">
      <c r="B14" s="72">
        <f>IF(Tableau4[[#This Row],[N° commande]]&lt;&gt;"", ROW()-5, "")</f>
        <v>9</v>
      </c>
      <c r="C14" s="72" t="s">
        <v>76</v>
      </c>
      <c r="D14" s="79">
        <v>44891.703298611108</v>
      </c>
      <c r="E14" s="72" t="s">
        <v>32</v>
      </c>
      <c r="F14" s="72" t="s">
        <v>58</v>
      </c>
      <c r="G14" s="72">
        <v>12</v>
      </c>
      <c r="H14" s="72">
        <v>24</v>
      </c>
      <c r="I14" s="74">
        <v>3500</v>
      </c>
      <c r="J14" s="74">
        <v>84000</v>
      </c>
      <c r="K14" s="72" t="s">
        <v>167</v>
      </c>
    </row>
    <row r="15" spans="2:11" x14ac:dyDescent="0.25">
      <c r="B15" s="72">
        <f>IF(Tableau4[[#This Row],[N° commande]]&lt;&gt;"", ROW()-5, "")</f>
        <v>10</v>
      </c>
      <c r="C15" s="72" t="s">
        <v>168</v>
      </c>
      <c r="D15" s="79">
        <v>44905.583796296298</v>
      </c>
      <c r="E15" s="72" t="s">
        <v>43</v>
      </c>
      <c r="F15" s="72" t="s">
        <v>31</v>
      </c>
      <c r="G15" s="72">
        <v>9.5</v>
      </c>
      <c r="H15" s="72">
        <v>10</v>
      </c>
      <c r="I15" s="74">
        <v>2500</v>
      </c>
      <c r="J15" s="74">
        <v>25000</v>
      </c>
      <c r="K15" s="72" t="s">
        <v>167</v>
      </c>
    </row>
    <row r="16" spans="2:11" x14ac:dyDescent="0.25">
      <c r="B16" s="72">
        <f>IF(Tableau4[[#This Row],[N° commande]]&lt;&gt;"", ROW()-5, "")</f>
        <v>11</v>
      </c>
      <c r="C16" s="72" t="s">
        <v>168</v>
      </c>
      <c r="D16" s="79">
        <v>44905.583796296298</v>
      </c>
      <c r="E16" s="72" t="s">
        <v>32</v>
      </c>
      <c r="F16" s="72" t="s">
        <v>58</v>
      </c>
      <c r="G16" s="72">
        <v>12</v>
      </c>
      <c r="H16" s="72">
        <v>20</v>
      </c>
      <c r="I16" s="74">
        <v>3500</v>
      </c>
      <c r="J16" s="74">
        <v>70000</v>
      </c>
      <c r="K16" s="72" t="s">
        <v>167</v>
      </c>
    </row>
    <row r="17" spans="2:11" x14ac:dyDescent="0.25">
      <c r="B17" s="72">
        <f>IF(Tableau4[[#This Row],[N° commande]]&lt;&gt;"", ROW()-5, "")</f>
        <v>12</v>
      </c>
      <c r="C17" s="72" t="s">
        <v>172</v>
      </c>
      <c r="D17" s="79">
        <v>44905.717442129629</v>
      </c>
      <c r="E17" s="72" t="s">
        <v>32</v>
      </c>
      <c r="F17" s="72" t="s">
        <v>58</v>
      </c>
      <c r="G17" s="72">
        <v>12</v>
      </c>
      <c r="H17" s="72">
        <v>12</v>
      </c>
      <c r="I17" s="74">
        <v>3500</v>
      </c>
      <c r="J17" s="74">
        <v>42000</v>
      </c>
      <c r="K17" s="72" t="s">
        <v>169</v>
      </c>
    </row>
    <row r="18" spans="2:11" x14ac:dyDescent="0.25">
      <c r="B18" s="72">
        <f>IF(Tableau4[[#This Row],[N° commande]]&lt;&gt;"", ROW()-5, "")</f>
        <v>13</v>
      </c>
      <c r="C18" s="72" t="s">
        <v>172</v>
      </c>
      <c r="D18" s="79">
        <v>44905.717442129629</v>
      </c>
      <c r="E18" s="72" t="s">
        <v>46</v>
      </c>
      <c r="F18" s="72" t="s">
        <v>59</v>
      </c>
      <c r="G18" s="72">
        <v>20</v>
      </c>
      <c r="H18" s="72">
        <v>20</v>
      </c>
      <c r="I18" s="74">
        <v>1000</v>
      </c>
      <c r="J18" s="74">
        <v>20000</v>
      </c>
      <c r="K18" s="72" t="s">
        <v>167</v>
      </c>
    </row>
  </sheetData>
  <conditionalFormatting sqref="B6:K18">
    <cfRule type="expression" dxfId="35" priority="1">
      <formula>$K6="Fermé"</formula>
    </cfRule>
    <cfRule type="expression" dxfId="34" priority="2">
      <formula>$K6="Ouvert"</formula>
    </cfRule>
  </conditionalFormatting>
  <dataValidations count="1">
    <dataValidation type="list" allowBlank="1" showInputMessage="1" showErrorMessage="1" sqref="K6:K18" xr:uid="{5A3BBAF0-5BC8-4DDC-AE04-457B4627397E}">
      <formula1>"Ouvert,Fermé"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addButton">
          <controlPr defaultSize="0" autoLine="0" r:id="rId5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381000</xdr:colOff>
                <xdr:row>3</xdr:row>
                <xdr:rowOff>19050</xdr:rowOff>
              </to>
            </anchor>
          </controlPr>
        </control>
      </mc:Choice>
      <mc:Fallback>
        <control shapeId="7169" r:id="rId4" name="addButton"/>
      </mc:Fallback>
    </mc:AlternateContent>
    <mc:AlternateContent xmlns:mc="http://schemas.openxmlformats.org/markup-compatibility/2006">
      <mc:Choice Requires="x14">
        <control shapeId="2" r:id="rId6" name="editButton">
          <controlPr defaultSize="0" autoLine="0" r:id="rId7">
            <anchor>
              <from>
                <xdr:col>2</xdr:col>
                <xdr:colOff>371475</xdr:colOff>
                <xdr:row>2</xdr:row>
                <xdr:rowOff>0</xdr:rowOff>
              </from>
              <to>
                <xdr:col>3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7170" r:id="rId6" name="editButton"/>
      </mc:Fallback>
    </mc:AlternateContent>
    <mc:AlternateContent xmlns:mc="http://schemas.openxmlformats.org/markup-compatibility/2006">
      <mc:Choice Requires="x14">
        <control shapeId="3" r:id="rId8" name="deleteButton">
          <controlPr defaultSize="0" autoLine="0" r:id="rId9">
            <anchor>
              <from>
                <xdr:col>3</xdr:col>
                <xdr:colOff>133350</xdr:colOff>
                <xdr:row>2</xdr:row>
                <xdr:rowOff>0</xdr:rowOff>
              </from>
              <to>
                <xdr:col>3</xdr:col>
                <xdr:colOff>1095375</xdr:colOff>
                <xdr:row>3</xdr:row>
                <xdr:rowOff>19050</xdr:rowOff>
              </to>
            </anchor>
          </controlPr>
        </control>
      </mc:Choice>
      <mc:Fallback>
        <control shapeId="7171" r:id="rId8" name="deleteButton"/>
      </mc:Fallback>
    </mc:AlternateContent>
    <mc:AlternateContent xmlns:mc="http://schemas.openxmlformats.org/markup-compatibility/2006">
      <mc:Choice Requires="x14">
        <control shapeId="4" r:id="rId10" name="executeButton">
          <controlPr defaultSize="0" autoLine="0" r:id="rId11">
            <anchor>
              <from>
                <xdr:col>3</xdr:col>
                <xdr:colOff>1085850</xdr:colOff>
                <xdr:row>2</xdr:row>
                <xdr:rowOff>0</xdr:rowOff>
              </from>
              <to>
                <xdr:col>4</xdr:col>
                <xdr:colOff>857250</xdr:colOff>
                <xdr:row>3</xdr:row>
                <xdr:rowOff>19050</xdr:rowOff>
              </to>
            </anchor>
          </controlPr>
        </control>
      </mc:Choice>
      <mc:Fallback>
        <control shapeId="7172" r:id="rId10" name="executeButton"/>
      </mc:Fallback>
    </mc:AlternateContent>
  </controls>
  <tableParts count="1"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9973-EAF6-4E42-A45A-3382A6954AB3}">
  <sheetPr codeName="Feuil6">
    <pageSetUpPr fitToPage="1"/>
  </sheetPr>
  <dimension ref="B1:H22"/>
  <sheetViews>
    <sheetView showGridLines="0" zoomScaleNormal="100" workbookViewId="0">
      <selection activeCell="P5" sqref="P5"/>
    </sheetView>
  </sheetViews>
  <sheetFormatPr baseColWidth="10" defaultRowHeight="15" x14ac:dyDescent="0.25"/>
  <cols>
    <col min="2" max="2" width="8.7109375" customWidth="1"/>
    <col min="3" max="4" width="18.7109375" customWidth="1"/>
    <col min="5" max="6" width="10.7109375" customWidth="1"/>
    <col min="7" max="8" width="17.28515625" customWidth="1"/>
    <col min="9" max="9" width="11.42578125" customWidth="1"/>
  </cols>
  <sheetData>
    <row r="1" spans="2:8" ht="42" customHeight="1" x14ac:dyDescent="0.25"/>
    <row r="4" spans="2:8" ht="15.75" thickBot="1" x14ac:dyDescent="0.3"/>
    <row r="5" spans="2:8" ht="26.25" thickBot="1" x14ac:dyDescent="0.3">
      <c r="F5" s="98" t="s">
        <v>60</v>
      </c>
      <c r="G5" s="99"/>
      <c r="H5" s="100"/>
    </row>
    <row r="7" spans="2:8" ht="22.5" customHeight="1" x14ac:dyDescent="0.25">
      <c r="D7" s="65" t="s">
        <v>62</v>
      </c>
      <c r="E7" s="109" t="s">
        <v>172</v>
      </c>
      <c r="F7" s="109"/>
      <c r="G7" s="22" t="s">
        <v>61</v>
      </c>
      <c r="H7" s="10">
        <v>44905.717442129629</v>
      </c>
    </row>
    <row r="9" spans="2:8" ht="18.75" x14ac:dyDescent="0.25">
      <c r="D9" s="101" t="s">
        <v>75</v>
      </c>
      <c r="E9" s="101"/>
    </row>
    <row r="10" spans="2:8" ht="18.75" x14ac:dyDescent="0.3">
      <c r="B10" s="108"/>
      <c r="C10" s="108"/>
      <c r="D10" s="102" t="str">
        <f>Paramètres!C31</f>
        <v>Bar</v>
      </c>
      <c r="E10" s="102"/>
    </row>
    <row r="11" spans="2:8" ht="15.75" x14ac:dyDescent="0.25">
      <c r="B11" s="106"/>
      <c r="C11" s="106"/>
      <c r="D11" s="103" t="str">
        <f>Paramètres!C32</f>
        <v>Lot IB 10/0101 Ambatomena</v>
      </c>
      <c r="E11" s="103"/>
    </row>
    <row r="12" spans="2:8" ht="15.75" x14ac:dyDescent="0.25">
      <c r="B12" s="106"/>
      <c r="C12" s="106"/>
      <c r="D12" s="103" t="str">
        <f>Paramètres!C33</f>
        <v>Fianarantsoa</v>
      </c>
      <c r="E12" s="103"/>
    </row>
    <row r="13" spans="2:8" ht="15.75" x14ac:dyDescent="0.25">
      <c r="B13" s="106"/>
      <c r="C13" s="106"/>
      <c r="D13" s="104">
        <f>Paramètres!C34</f>
        <v>41234567</v>
      </c>
      <c r="E13" s="104"/>
    </row>
    <row r="14" spans="2:8" ht="15.75" x14ac:dyDescent="0.25">
      <c r="B14" s="107"/>
      <c r="C14" s="107"/>
      <c r="D14" s="103" t="str">
        <f>Paramètres!C35</f>
        <v>pseudo@gmail.com</v>
      </c>
      <c r="E14" s="103"/>
    </row>
    <row r="15" spans="2:8" ht="15.75" x14ac:dyDescent="0.25">
      <c r="B15" s="106"/>
      <c r="C15" s="106"/>
      <c r="D15" s="103" t="str">
        <f>Paramètres!C36</f>
        <v>Pseudo FB</v>
      </c>
      <c r="E15" s="103"/>
    </row>
    <row r="17" spans="2:8" ht="36" customHeight="1" x14ac:dyDescent="0.25">
      <c r="B17" s="66" t="s">
        <v>64</v>
      </c>
      <c r="C17" s="66" t="s">
        <v>17</v>
      </c>
      <c r="D17" s="66" t="s">
        <v>0</v>
      </c>
      <c r="E17" s="67" t="s">
        <v>2</v>
      </c>
      <c r="F17" s="67" t="s">
        <v>53</v>
      </c>
      <c r="G17" s="66" t="s">
        <v>3</v>
      </c>
      <c r="H17" s="66" t="s">
        <v>80</v>
      </c>
    </row>
    <row r="18" spans="2:8" ht="15.75" x14ac:dyDescent="0.25">
      <c r="B18" s="72">
        <f>IF(Tableau8[[#This Row],[Article]]&lt;&gt;"", ROW()-17, "")</f>
        <v>1</v>
      </c>
      <c r="C18" s="72" t="s">
        <v>32</v>
      </c>
      <c r="D18" s="72" t="s">
        <v>58</v>
      </c>
      <c r="E18" s="72">
        <v>12</v>
      </c>
      <c r="F18" s="72">
        <v>12</v>
      </c>
      <c r="G18" s="74">
        <v>3500</v>
      </c>
      <c r="H18" s="74">
        <v>42000</v>
      </c>
    </row>
    <row r="19" spans="2:8" ht="15.75" x14ac:dyDescent="0.25">
      <c r="B19" s="72">
        <f>IF(Tableau8[[#This Row],[Article]]&lt;&gt;"", ROW()-17, "")</f>
        <v>2</v>
      </c>
      <c r="C19" s="72" t="s">
        <v>46</v>
      </c>
      <c r="D19" s="72" t="s">
        <v>59</v>
      </c>
      <c r="E19" s="72">
        <v>20</v>
      </c>
      <c r="F19" s="72">
        <v>20</v>
      </c>
      <c r="G19" s="74">
        <v>1000</v>
      </c>
      <c r="H19" s="74">
        <v>20000</v>
      </c>
    </row>
    <row r="22" spans="2:8" ht="18.75" x14ac:dyDescent="0.25">
      <c r="B22" s="68"/>
      <c r="C22" s="68"/>
      <c r="D22" s="68"/>
      <c r="E22" s="68"/>
      <c r="F22" s="68"/>
      <c r="G22" s="69" t="s">
        <v>81</v>
      </c>
      <c r="H22" s="70">
        <f>SUM(Tableau8[Prix])</f>
        <v>62000</v>
      </c>
    </row>
  </sheetData>
  <mergeCells count="15">
    <mergeCell ref="F5:H5"/>
    <mergeCell ref="B10:C10"/>
    <mergeCell ref="B11:C11"/>
    <mergeCell ref="E7:F7"/>
    <mergeCell ref="D9:E9"/>
    <mergeCell ref="D11:E11"/>
    <mergeCell ref="D10:E10"/>
    <mergeCell ref="B12:C12"/>
    <mergeCell ref="B13:C13"/>
    <mergeCell ref="B14:C14"/>
    <mergeCell ref="B15:C15"/>
    <mergeCell ref="D12:E12"/>
    <mergeCell ref="D13:E13"/>
    <mergeCell ref="D14:E14"/>
    <mergeCell ref="D15:E15"/>
  </mergeCells>
  <phoneticPr fontId="9" type="noConversion"/>
  <pageMargins left="0.23622047244094491" right="0.23622047244094491" top="0.74803149606299213" bottom="0.74803149606299213" header="0.31496062992125984" footer="0.31496062992125984"/>
  <pageSetup paperSize="9" scale="9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" r:id="rId4" name="showButton">
          <controlPr defaultSize="0" print="0" autoLine="0" r:id="rId5">
            <anchor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333375</xdr:colOff>
                <xdr:row>7</xdr:row>
                <xdr:rowOff>19050</xdr:rowOff>
              </to>
            </anchor>
          </controlPr>
        </control>
      </mc:Choice>
      <mc:Fallback>
        <control shapeId="6155" r:id="rId4" name="showButton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063EE4-FA3A-484C-9E4A-3EDDEEF0FFDB}">
          <x14:formula1>
            <xm:f>Commandes!$C$6:$C$1000014</xm:f>
          </x14:formula1>
          <xm:sqref>E7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B2D54-772E-4A0D-A31D-B5583AE66831}">
  <sheetPr codeName="Feuil13">
    <pageSetUpPr fitToPage="1"/>
  </sheetPr>
  <dimension ref="B1:H35"/>
  <sheetViews>
    <sheetView showGridLines="0" workbookViewId="0">
      <selection activeCell="C17" sqref="C17"/>
    </sheetView>
  </sheetViews>
  <sheetFormatPr baseColWidth="10" defaultRowHeight="15" x14ac:dyDescent="0.25"/>
  <cols>
    <col min="2" max="2" width="8.7109375" customWidth="1"/>
    <col min="3" max="3" width="15.7109375" customWidth="1"/>
    <col min="4" max="5" width="17.85546875" customWidth="1"/>
    <col min="6" max="6" width="8.7109375" customWidth="1"/>
    <col min="7" max="8" width="16.7109375" customWidth="1"/>
  </cols>
  <sheetData>
    <row r="1" spans="2:8" ht="42" customHeight="1" x14ac:dyDescent="0.25"/>
    <row r="4" spans="2:8" ht="15.75" thickBot="1" x14ac:dyDescent="0.3"/>
    <row r="5" spans="2:8" ht="26.25" customHeight="1" thickBot="1" x14ac:dyDescent="0.3">
      <c r="F5" s="98" t="s">
        <v>130</v>
      </c>
      <c r="G5" s="99"/>
      <c r="H5" s="100"/>
    </row>
    <row r="7" spans="2:8" ht="23.25" customHeight="1" x14ac:dyDescent="0.25">
      <c r="G7" s="22" t="s">
        <v>148</v>
      </c>
      <c r="H7" s="73">
        <v>44905.40625</v>
      </c>
    </row>
    <row r="8" spans="2:8" ht="18.75" x14ac:dyDescent="0.25">
      <c r="D8" s="101" t="s">
        <v>75</v>
      </c>
      <c r="E8" s="101"/>
    </row>
    <row r="9" spans="2:8" ht="15.75" x14ac:dyDescent="0.25">
      <c r="D9" s="102" t="str">
        <f>Paramètres!C31</f>
        <v>Bar</v>
      </c>
      <c r="E9" s="102"/>
    </row>
    <row r="10" spans="2:8" ht="15.75" x14ac:dyDescent="0.25">
      <c r="D10" s="103" t="str">
        <f>Paramètres!C32</f>
        <v>Lot IB 10/0101 Ambatomena</v>
      </c>
      <c r="E10" s="103"/>
      <c r="F10" s="20"/>
    </row>
    <row r="11" spans="2:8" ht="15.75" x14ac:dyDescent="0.25">
      <c r="D11" s="103" t="str">
        <f>Paramètres!C33</f>
        <v>Fianarantsoa</v>
      </c>
      <c r="E11" s="103"/>
      <c r="F11" s="20"/>
    </row>
    <row r="12" spans="2:8" ht="15.75" x14ac:dyDescent="0.25">
      <c r="D12" s="104">
        <f>Paramètres!C34</f>
        <v>41234567</v>
      </c>
      <c r="E12" s="104"/>
      <c r="F12" s="19"/>
    </row>
    <row r="13" spans="2:8" ht="15.75" x14ac:dyDescent="0.25">
      <c r="D13" s="103" t="str">
        <f>Paramètres!C35</f>
        <v>pseudo@gmail.com</v>
      </c>
      <c r="E13" s="103"/>
      <c r="F13" s="20"/>
    </row>
    <row r="14" spans="2:8" ht="15.75" x14ac:dyDescent="0.25">
      <c r="D14" s="103" t="str">
        <f>Paramètres!C36</f>
        <v>Pseudo FB</v>
      </c>
      <c r="E14" s="103"/>
      <c r="F14" s="20"/>
    </row>
    <row r="16" spans="2:8" ht="21.75" customHeight="1" x14ac:dyDescent="0.25">
      <c r="B16" s="21" t="s">
        <v>64</v>
      </c>
      <c r="C16" s="21" t="s">
        <v>36</v>
      </c>
      <c r="D16" s="21" t="s">
        <v>17</v>
      </c>
      <c r="E16" s="21" t="s">
        <v>0</v>
      </c>
      <c r="F16" s="21" t="s">
        <v>77</v>
      </c>
      <c r="G16" s="21" t="s">
        <v>80</v>
      </c>
      <c r="H16" s="21" t="s">
        <v>79</v>
      </c>
    </row>
    <row r="17" spans="2:8" ht="15.75" x14ac:dyDescent="0.25">
      <c r="B17" s="72">
        <f>IF(Tableau510[[#This Row],[N° vente]]&lt;&gt;"",ROW()-16,"")</f>
        <v>1</v>
      </c>
      <c r="C17" s="72" t="s">
        <v>47</v>
      </c>
      <c r="D17" s="72" t="s">
        <v>46</v>
      </c>
      <c r="E17" s="72" t="s">
        <v>30</v>
      </c>
      <c r="F17" s="72">
        <v>2</v>
      </c>
      <c r="G17" s="74">
        <v>5000</v>
      </c>
      <c r="H17" s="74">
        <f t="array" ref="H17">IF(Tableau510[[#This Row],[N°]]&lt;&gt;"",PRODUCT(IFERROR(VLOOKUP(Tableau510[[#This Row],[Article]],Tableau1[[Désignation]:[Marge]],7,0),0),Tableau510[[#This Row],[Qté]]),"")</f>
        <v>3000</v>
      </c>
    </row>
    <row r="18" spans="2:8" ht="31.5" x14ac:dyDescent="0.25">
      <c r="B18" s="72">
        <f>IF(Tableau510[[#This Row],[N° vente]]&lt;&gt;"",ROW()-16,"")</f>
        <v>2</v>
      </c>
      <c r="C18" s="72" t="s">
        <v>158</v>
      </c>
      <c r="D18" s="72" t="s">
        <v>43</v>
      </c>
      <c r="E18" s="72" t="s">
        <v>31</v>
      </c>
      <c r="F18" s="72">
        <v>7</v>
      </c>
      <c r="G18" s="74">
        <v>28000</v>
      </c>
      <c r="H18" s="74">
        <f t="array" ref="H18">IF(Tableau510[[#This Row],[N°]]&lt;&gt;"",PRODUCT(IFERROR(VLOOKUP(Tableau510[[#This Row],[Article]],Tableau1[[Désignation]:[Marge]],7,0),0),Tableau510[[#This Row],[Qté]]),"")</f>
        <v>10500</v>
      </c>
    </row>
    <row r="19" spans="2:8" ht="15.75" x14ac:dyDescent="0.25">
      <c r="B19" s="72">
        <f>IF(Tableau510[[#This Row],[N° vente]]&lt;&gt;"",ROW()-16,"")</f>
        <v>3</v>
      </c>
      <c r="C19" s="72" t="s">
        <v>49</v>
      </c>
      <c r="D19" s="72" t="s">
        <v>33</v>
      </c>
      <c r="E19" s="72" t="s">
        <v>26</v>
      </c>
      <c r="F19" s="72">
        <v>1</v>
      </c>
      <c r="G19" s="74">
        <v>5800</v>
      </c>
      <c r="H19" s="74">
        <f t="array" ref="H19">IF(Tableau510[[#This Row],[N°]]&lt;&gt;"",PRODUCT(IFERROR(VLOOKUP(Tableau510[[#This Row],[Article]],Tableau1[[Désignation]:[Marge]],7,0),0),Tableau510[[#This Row],[Qté]]),"")</f>
        <v>800</v>
      </c>
    </row>
    <row r="20" spans="2:8" ht="17.25" customHeight="1" x14ac:dyDescent="0.25">
      <c r="B20" s="72">
        <f>IF(Tableau510[[#This Row],[N° vente]]&lt;&gt;"",ROW()-16,"")</f>
        <v>4</v>
      </c>
      <c r="C20" s="72" t="s">
        <v>182</v>
      </c>
      <c r="D20" s="72" t="s">
        <v>40</v>
      </c>
      <c r="E20" s="72" t="s">
        <v>51</v>
      </c>
      <c r="F20" s="72">
        <v>21</v>
      </c>
      <c r="G20" s="74">
        <v>105000</v>
      </c>
      <c r="H20" s="74">
        <f t="array" ref="H20">IF(Tableau510[[#This Row],[N°]]&lt;&gt;"",PRODUCT(IFERROR(VLOOKUP(Tableau510[[#This Row],[Article]],Tableau1[[Désignation]:[Marge]],7,0),0),Tableau510[[#This Row],[Qté]]),"")</f>
        <v>42000</v>
      </c>
    </row>
    <row r="21" spans="2:8" ht="17.25" customHeight="1" x14ac:dyDescent="0.25"/>
    <row r="22" spans="2:8" ht="17.25" customHeight="1" x14ac:dyDescent="0.25">
      <c r="C22" s="23"/>
      <c r="G22" s="23"/>
      <c r="H22" s="23"/>
    </row>
    <row r="23" spans="2:8" ht="17.25" customHeight="1" x14ac:dyDescent="0.25">
      <c r="B23" s="7"/>
      <c r="C23" s="7"/>
      <c r="D23" s="7"/>
      <c r="E23" s="7"/>
      <c r="F23" s="96" t="s">
        <v>174</v>
      </c>
      <c r="G23" s="90" t="s">
        <v>152</v>
      </c>
      <c r="H23" s="92">
        <f>SUM(Tableau510[Prix])</f>
        <v>143800</v>
      </c>
    </row>
    <row r="24" spans="2:8" ht="15.75" x14ac:dyDescent="0.25">
      <c r="F24" s="105"/>
      <c r="G24" s="90" t="s">
        <v>151</v>
      </c>
      <c r="H24" s="92">
        <f>SUM(Tableau510[Bénéfice])</f>
        <v>56300</v>
      </c>
    </row>
    <row r="25" spans="2:8" ht="17.25" customHeight="1" x14ac:dyDescent="0.25">
      <c r="F25" s="97"/>
      <c r="G25" s="90" t="s">
        <v>85</v>
      </c>
      <c r="H25" s="92">
        <v>3</v>
      </c>
    </row>
    <row r="26" spans="2:8" ht="17.25" customHeight="1" x14ac:dyDescent="0.25">
      <c r="F26" s="94" t="s">
        <v>173</v>
      </c>
      <c r="G26" s="95"/>
      <c r="H26" s="92">
        <f>SUM(H23,H25)</f>
        <v>143803</v>
      </c>
    </row>
    <row r="27" spans="2:8" ht="17.25" customHeight="1" x14ac:dyDescent="0.25"/>
    <row r="28" spans="2:8" ht="15.75" x14ac:dyDescent="0.25">
      <c r="F28" s="96" t="s">
        <v>176</v>
      </c>
      <c r="G28" s="90" t="s">
        <v>82</v>
      </c>
      <c r="H28" s="93">
        <v>1</v>
      </c>
    </row>
    <row r="29" spans="2:8" ht="17.25" customHeight="1" x14ac:dyDescent="0.25">
      <c r="F29" s="97"/>
      <c r="G29" s="90" t="s">
        <v>175</v>
      </c>
      <c r="H29" s="93">
        <v>2</v>
      </c>
    </row>
    <row r="30" spans="2:8" ht="17.25" customHeight="1" x14ac:dyDescent="0.25">
      <c r="F30" s="94" t="s">
        <v>178</v>
      </c>
      <c r="G30" s="95"/>
      <c r="H30" s="93">
        <f>SUM(H28,H29)</f>
        <v>3</v>
      </c>
    </row>
    <row r="31" spans="2:8" ht="17.25" customHeight="1" x14ac:dyDescent="0.25"/>
    <row r="32" spans="2:8" ht="17.25" customHeight="1" x14ac:dyDescent="0.25">
      <c r="F32" s="96" t="s">
        <v>181</v>
      </c>
      <c r="G32" s="90" t="s">
        <v>83</v>
      </c>
      <c r="H32" s="93">
        <f>H24-H29</f>
        <v>56298</v>
      </c>
    </row>
    <row r="33" spans="6:8" ht="15.75" x14ac:dyDescent="0.25">
      <c r="F33" s="105"/>
      <c r="G33" s="90" t="s">
        <v>150</v>
      </c>
      <c r="H33" s="93">
        <f>Paramètres!$E$42</f>
        <v>321600</v>
      </c>
    </row>
    <row r="34" spans="6:8" ht="15.75" x14ac:dyDescent="0.25">
      <c r="F34" s="105"/>
      <c r="G34" s="90" t="s">
        <v>179</v>
      </c>
      <c r="H34" s="93">
        <v>4</v>
      </c>
    </row>
    <row r="35" spans="6:8" ht="15.75" x14ac:dyDescent="0.25">
      <c r="F35" s="97"/>
      <c r="G35" s="90" t="s">
        <v>180</v>
      </c>
      <c r="H35" s="93">
        <f>SUM(H33,H34)-H28</f>
        <v>321603</v>
      </c>
    </row>
  </sheetData>
  <mergeCells count="13">
    <mergeCell ref="F28:F29"/>
    <mergeCell ref="F30:G30"/>
    <mergeCell ref="F32:F35"/>
    <mergeCell ref="D13:E13"/>
    <mergeCell ref="D14:E14"/>
    <mergeCell ref="F26:G26"/>
    <mergeCell ref="F23:F25"/>
    <mergeCell ref="D12:E12"/>
    <mergeCell ref="F5:H5"/>
    <mergeCell ref="D8:E8"/>
    <mergeCell ref="D9:E9"/>
    <mergeCell ref="D10:E10"/>
    <mergeCell ref="D11:E11"/>
  </mergeCells>
  <pageMargins left="0.70866141732283472" right="0.70866141732283472" top="0.74803149606299213" bottom="0.74803149606299213" header="0.31496062992125984" footer="0.31496062992125984"/>
  <pageSetup paperSize="9" scale="85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8674" r:id="rId4" name="showButton">
          <controlPr defaultSize="0" print="0" autoLine="0" r:id="rId5">
            <anchor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333375</xdr:colOff>
                <xdr:row>7</xdr:row>
                <xdr:rowOff>9525</xdr:rowOff>
              </to>
            </anchor>
          </controlPr>
        </control>
      </mc:Choice>
      <mc:Fallback>
        <control shapeId="28674" r:id="rId4" name="showButton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A1637D-27C9-4251-ADEB-B18DF38975A8}">
          <x14:formula1>
            <xm:f>Ventes!$D$6:$D$1000011</xm:f>
          </x14:formula1>
          <xm:sqref>H7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4E43-628E-4AFE-81B7-B3F7CF9C07F5}">
  <sheetPr codeName="Feuil2"/>
  <dimension ref="A1:I69"/>
  <sheetViews>
    <sheetView showGridLines="0" zoomScaleNormal="100" workbookViewId="0">
      <selection activeCell="M42" sqref="M42"/>
    </sheetView>
  </sheetViews>
  <sheetFormatPr baseColWidth="10" defaultRowHeight="15" x14ac:dyDescent="0.25"/>
  <cols>
    <col min="2" max="2" width="22" customWidth="1"/>
    <col min="3" max="4" width="15.7109375" customWidth="1"/>
    <col min="5" max="5" width="16.7109375" customWidth="1"/>
    <col min="6" max="8" width="15.7109375" customWidth="1"/>
  </cols>
  <sheetData>
    <row r="1" spans="2:9" ht="42" customHeight="1" x14ac:dyDescent="0.25"/>
    <row r="4" spans="2:9" ht="19.5" thickBot="1" x14ac:dyDescent="0.3">
      <c r="B4" s="15" t="s">
        <v>104</v>
      </c>
      <c r="C4" s="3"/>
      <c r="G4" s="15" t="s">
        <v>133</v>
      </c>
      <c r="H4" s="3"/>
      <c r="I4" s="3"/>
    </row>
    <row r="5" spans="2:9" ht="15.75" thickBot="1" x14ac:dyDescent="0.3">
      <c r="C5" s="35"/>
    </row>
    <row r="6" spans="2:9" ht="18" customHeight="1" thickBot="1" x14ac:dyDescent="0.3">
      <c r="B6" s="43" t="s">
        <v>105</v>
      </c>
      <c r="C6" s="52" t="s">
        <v>113</v>
      </c>
      <c r="G6" s="13" t="s">
        <v>134</v>
      </c>
    </row>
    <row r="7" spans="2:9" ht="18" customHeight="1" thickBot="1" x14ac:dyDescent="0.3">
      <c r="B7" s="53" t="s">
        <v>106</v>
      </c>
      <c r="C7" s="54" t="s">
        <v>0</v>
      </c>
    </row>
    <row r="8" spans="2:9" ht="18" customHeight="1" thickBot="1" x14ac:dyDescent="0.3">
      <c r="B8" s="45" t="s">
        <v>107</v>
      </c>
      <c r="C8" s="57" t="s">
        <v>17</v>
      </c>
      <c r="G8" s="13" t="s">
        <v>135</v>
      </c>
    </row>
    <row r="9" spans="2:9" ht="18" customHeight="1" x14ac:dyDescent="0.25">
      <c r="B9" s="51" t="s">
        <v>108</v>
      </c>
      <c r="C9" s="30" t="s">
        <v>37</v>
      </c>
      <c r="D9" s="12"/>
    </row>
    <row r="10" spans="2:9" ht="18" customHeight="1" x14ac:dyDescent="0.25">
      <c r="B10" s="53" t="s">
        <v>109</v>
      </c>
      <c r="C10" s="57" t="s">
        <v>114</v>
      </c>
      <c r="D10" s="12"/>
    </row>
    <row r="11" spans="2:9" ht="18" customHeight="1" x14ac:dyDescent="0.25">
      <c r="B11" s="53" t="s">
        <v>110</v>
      </c>
      <c r="C11" s="30" t="s">
        <v>129</v>
      </c>
      <c r="D11" s="12"/>
    </row>
    <row r="12" spans="2:9" ht="18" customHeight="1" x14ac:dyDescent="0.25">
      <c r="B12" s="45" t="s">
        <v>111</v>
      </c>
      <c r="C12" s="54" t="s">
        <v>54</v>
      </c>
      <c r="D12" s="12"/>
    </row>
    <row r="13" spans="2:9" ht="18" customHeight="1" x14ac:dyDescent="0.25">
      <c r="B13" s="51" t="s">
        <v>112</v>
      </c>
      <c r="C13" s="57" t="s">
        <v>132</v>
      </c>
      <c r="D13" s="12"/>
    </row>
    <row r="14" spans="2:9" ht="15.75" x14ac:dyDescent="0.25">
      <c r="B14" s="45" t="s">
        <v>127</v>
      </c>
      <c r="C14" s="57" t="s">
        <v>130</v>
      </c>
      <c r="D14" s="12"/>
    </row>
    <row r="15" spans="2:9" ht="16.5" thickBot="1" x14ac:dyDescent="0.3">
      <c r="B15" s="55" t="s">
        <v>128</v>
      </c>
      <c r="C15" s="56" t="s">
        <v>115</v>
      </c>
      <c r="D15" s="12"/>
    </row>
    <row r="16" spans="2:9" x14ac:dyDescent="0.25">
      <c r="B16" s="11"/>
      <c r="C16" s="11"/>
    </row>
    <row r="18" spans="2:5" ht="19.5" thickBot="1" x14ac:dyDescent="0.3">
      <c r="B18" s="15" t="s">
        <v>16</v>
      </c>
      <c r="C18" s="3"/>
      <c r="D18" s="3"/>
    </row>
    <row r="19" spans="2:5" ht="15.75" thickBot="1" x14ac:dyDescent="0.3"/>
    <row r="20" spans="2:5" ht="18" customHeight="1" x14ac:dyDescent="0.25">
      <c r="B20" s="42" t="s">
        <v>0</v>
      </c>
      <c r="C20" s="50" t="s">
        <v>24</v>
      </c>
      <c r="D20" s="50">
        <v>10</v>
      </c>
      <c r="E20" s="46" t="str">
        <f>C20&amp;TEXT(D20,"00")</f>
        <v>CAT-10</v>
      </c>
    </row>
    <row r="21" spans="2:5" ht="18" customHeight="1" x14ac:dyDescent="0.25">
      <c r="B21" s="51" t="s">
        <v>17</v>
      </c>
      <c r="C21" s="27" t="s">
        <v>18</v>
      </c>
      <c r="D21" s="49">
        <v>10</v>
      </c>
      <c r="E21" s="48" t="str">
        <f>C21&amp;TEXT(D21,"0000")</f>
        <v>ART-0010</v>
      </c>
    </row>
    <row r="22" spans="2:5" ht="18" customHeight="1" x14ac:dyDescent="0.25">
      <c r="B22" s="45" t="s">
        <v>37</v>
      </c>
      <c r="C22" s="31" t="s">
        <v>38</v>
      </c>
      <c r="D22" s="31">
        <v>11</v>
      </c>
      <c r="E22" s="48" t="str">
        <f>C22&amp;TEXT(D22,"0000000")</f>
        <v>VEN-0000011</v>
      </c>
    </row>
    <row r="23" spans="2:5" ht="18" customHeight="1" thickBot="1" x14ac:dyDescent="0.3">
      <c r="B23" s="44" t="s">
        <v>54</v>
      </c>
      <c r="C23" s="39" t="s">
        <v>55</v>
      </c>
      <c r="D23" s="39">
        <v>5</v>
      </c>
      <c r="E23" s="47" t="str">
        <f>C23&amp;TEXT(D23,"0000000")</f>
        <v>COM-0000005</v>
      </c>
    </row>
    <row r="29" spans="2:5" ht="19.5" thickBot="1" x14ac:dyDescent="0.3">
      <c r="B29" s="15" t="s">
        <v>60</v>
      </c>
      <c r="C29" s="3"/>
      <c r="D29" s="3"/>
    </row>
    <row r="30" spans="2:5" ht="15.75" thickBot="1" x14ac:dyDescent="0.3"/>
    <row r="31" spans="2:5" ht="18" customHeight="1" thickBot="1" x14ac:dyDescent="0.3">
      <c r="B31" s="14" t="s">
        <v>65</v>
      </c>
      <c r="C31" s="136" t="s">
        <v>65</v>
      </c>
      <c r="D31" s="137"/>
    </row>
    <row r="32" spans="2:5" ht="18" customHeight="1" thickBot="1" x14ac:dyDescent="0.3">
      <c r="B32" s="14" t="s">
        <v>66</v>
      </c>
      <c r="C32" s="123" t="s">
        <v>72</v>
      </c>
      <c r="D32" s="138"/>
    </row>
    <row r="33" spans="2:6" ht="18" customHeight="1" thickBot="1" x14ac:dyDescent="0.3">
      <c r="B33" s="14" t="s">
        <v>67</v>
      </c>
      <c r="C33" s="123" t="s">
        <v>71</v>
      </c>
      <c r="D33" s="138"/>
    </row>
    <row r="34" spans="2:6" ht="18" customHeight="1" thickBot="1" x14ac:dyDescent="0.3">
      <c r="B34" s="14" t="s">
        <v>68</v>
      </c>
      <c r="C34" s="139">
        <v>41234567</v>
      </c>
      <c r="D34" s="140"/>
      <c r="E34" s="8"/>
    </row>
    <row r="35" spans="2:6" ht="18" customHeight="1" thickBot="1" x14ac:dyDescent="0.3">
      <c r="B35" s="14" t="s">
        <v>70</v>
      </c>
      <c r="C35" s="141" t="s">
        <v>73</v>
      </c>
      <c r="D35" s="142"/>
      <c r="E35" s="8"/>
    </row>
    <row r="36" spans="2:6" ht="18" customHeight="1" thickBot="1" x14ac:dyDescent="0.3">
      <c r="B36" s="14" t="s">
        <v>69</v>
      </c>
      <c r="C36" s="134" t="s">
        <v>74</v>
      </c>
      <c r="D36" s="135"/>
      <c r="E36" s="8"/>
    </row>
    <row r="37" spans="2:6" x14ac:dyDescent="0.25">
      <c r="D37" s="9"/>
    </row>
    <row r="40" spans="2:6" ht="19.5" thickBot="1" x14ac:dyDescent="0.3">
      <c r="B40" s="15" t="s">
        <v>91</v>
      </c>
      <c r="C40" s="3"/>
      <c r="D40" s="3"/>
    </row>
    <row r="41" spans="2:6" ht="15.75" thickBot="1" x14ac:dyDescent="0.3"/>
    <row r="42" spans="2:6" ht="18" customHeight="1" x14ac:dyDescent="0.25">
      <c r="B42" s="29" t="s">
        <v>92</v>
      </c>
      <c r="C42" s="121" t="s">
        <v>98</v>
      </c>
      <c r="D42" s="122"/>
      <c r="E42" s="59">
        <f>SUMPRODUCT(Tableau1[Qté Stock],Tableau1[PU Vente])</f>
        <v>321600</v>
      </c>
    </row>
    <row r="43" spans="2:6" ht="18" customHeight="1" x14ac:dyDescent="0.25">
      <c r="B43" s="58" t="s">
        <v>93</v>
      </c>
      <c r="C43" s="123" t="s">
        <v>100</v>
      </c>
      <c r="D43" s="124"/>
      <c r="E43" s="60">
        <f>COUNTIF(Tableau4[Statut],"Ouvert")</f>
        <v>11</v>
      </c>
    </row>
    <row r="44" spans="2:6" ht="18" customHeight="1" x14ac:dyDescent="0.25">
      <c r="B44" s="58" t="s">
        <v>94</v>
      </c>
      <c r="C44" s="125" t="s">
        <v>99</v>
      </c>
      <c r="D44" s="126"/>
      <c r="E44" s="48">
        <f>COUNTIF(Tableau1[Statut],1)</f>
        <v>3</v>
      </c>
    </row>
    <row r="45" spans="2:6" ht="18" customHeight="1" x14ac:dyDescent="0.25">
      <c r="B45" s="58" t="s">
        <v>95</v>
      </c>
      <c r="C45" s="127" t="s">
        <v>101</v>
      </c>
      <c r="D45" s="128"/>
      <c r="E45" s="60">
        <f>COUNT(Tableau1[N° ligne])</f>
        <v>7</v>
      </c>
    </row>
    <row r="46" spans="2:6" ht="18" customHeight="1" x14ac:dyDescent="0.25">
      <c r="B46" s="58" t="s">
        <v>96</v>
      </c>
      <c r="C46" s="125" t="s">
        <v>102</v>
      </c>
      <c r="D46" s="126"/>
      <c r="E46" s="60">
        <f>SUM(Tableau1[Qté Stock])</f>
        <v>127.5</v>
      </c>
    </row>
    <row r="47" spans="2:6" ht="18" customHeight="1" x14ac:dyDescent="0.25">
      <c r="B47" s="118" t="s">
        <v>97</v>
      </c>
      <c r="C47" s="129" t="s">
        <v>103</v>
      </c>
      <c r="D47" s="126"/>
      <c r="E47" s="60" t="str">
        <f>IFERROR(INDEX(Tableau1[Désignation],MATCH(1,Tableau1[Rang],0)),"")</f>
        <v>Bolo</v>
      </c>
      <c r="F47" s="12"/>
    </row>
    <row r="48" spans="2:6" ht="18" customHeight="1" x14ac:dyDescent="0.25">
      <c r="B48" s="119"/>
      <c r="C48" s="130"/>
      <c r="D48" s="124"/>
      <c r="E48" s="16" t="str">
        <f>IFERROR(INDEX(Tableau1[Désignation],MATCH(2,Tableau1[Rang],0)),"")</f>
        <v>Rhum</v>
      </c>
    </row>
    <row r="49" spans="1:9" ht="18" customHeight="1" thickBot="1" x14ac:dyDescent="0.3">
      <c r="B49" s="120"/>
      <c r="C49" s="131"/>
      <c r="D49" s="132"/>
      <c r="E49" s="17" t="str">
        <f>IFERROR(INDEX(Tableau1[Désignation],MATCH(3,Tableau1[Rang],0)),"")</f>
        <v>Youzou 35cl</v>
      </c>
    </row>
    <row r="50" spans="1:9" x14ac:dyDescent="0.25">
      <c r="B50" s="11"/>
      <c r="C50" s="11"/>
      <c r="D50" s="11"/>
    </row>
    <row r="53" spans="1:9" ht="19.5" thickBot="1" x14ac:dyDescent="0.3">
      <c r="B53" s="15" t="s">
        <v>117</v>
      </c>
      <c r="C53" s="3"/>
      <c r="D53" s="3"/>
      <c r="G53" s="133" t="s">
        <v>131</v>
      </c>
      <c r="H53" s="133"/>
      <c r="I53" s="3"/>
    </row>
    <row r="54" spans="1:9" ht="15.75" thickBot="1" x14ac:dyDescent="0.3"/>
    <row r="55" spans="1:9" ht="18" customHeight="1" thickBot="1" x14ac:dyDescent="0.3">
      <c r="B55" s="42" t="s">
        <v>118</v>
      </c>
      <c r="C55" s="38" t="s">
        <v>119</v>
      </c>
      <c r="D55" s="40" t="s">
        <v>120</v>
      </c>
      <c r="E55" s="12"/>
      <c r="G55" s="13" t="s">
        <v>118</v>
      </c>
      <c r="H55" s="4" t="s">
        <v>124</v>
      </c>
    </row>
    <row r="56" spans="1:9" ht="18" customHeight="1" x14ac:dyDescent="0.25">
      <c r="A56" s="34"/>
      <c r="B56" s="64" t="s">
        <v>121</v>
      </c>
      <c r="C56" s="61" t="s">
        <v>122</v>
      </c>
      <c r="D56" s="54" t="s">
        <v>123</v>
      </c>
      <c r="E56" s="12"/>
    </row>
    <row r="57" spans="1:9" ht="18" customHeight="1" x14ac:dyDescent="0.25">
      <c r="A57" s="34"/>
      <c r="B57" s="63" t="s">
        <v>136</v>
      </c>
      <c r="C57" s="61" t="s">
        <v>137</v>
      </c>
      <c r="D57" s="54" t="s">
        <v>123</v>
      </c>
    </row>
    <row r="58" spans="1:9" ht="18" customHeight="1" thickBot="1" x14ac:dyDescent="0.3">
      <c r="B58" s="62" t="s">
        <v>124</v>
      </c>
      <c r="C58" s="39" t="s">
        <v>125</v>
      </c>
      <c r="D58" s="41" t="s">
        <v>126</v>
      </c>
      <c r="E58" s="12"/>
    </row>
    <row r="59" spans="1:9" x14ac:dyDescent="0.25">
      <c r="B59" s="11"/>
      <c r="C59" s="11"/>
      <c r="D59" s="11"/>
    </row>
    <row r="62" spans="1:9" ht="19.5" thickBot="1" x14ac:dyDescent="0.3">
      <c r="B62" s="15" t="s">
        <v>138</v>
      </c>
      <c r="C62" s="3"/>
      <c r="D62" s="3"/>
    </row>
    <row r="63" spans="1:9" ht="15.75" thickBot="1" x14ac:dyDescent="0.3"/>
    <row r="64" spans="1:9" ht="18" customHeight="1" x14ac:dyDescent="0.25">
      <c r="B64" s="36" t="s">
        <v>142</v>
      </c>
      <c r="C64" s="110" t="s">
        <v>143</v>
      </c>
      <c r="D64" s="110"/>
      <c r="E64" s="111"/>
    </row>
    <row r="65" spans="1:5" ht="18" customHeight="1" x14ac:dyDescent="0.25">
      <c r="B65" s="32" t="s">
        <v>139</v>
      </c>
      <c r="C65" s="112" t="s">
        <v>144</v>
      </c>
      <c r="D65" s="113"/>
      <c r="E65" s="114"/>
    </row>
    <row r="66" spans="1:5" ht="18" customHeight="1" x14ac:dyDescent="0.25">
      <c r="B66" s="32" t="s">
        <v>140</v>
      </c>
      <c r="C66" s="112" t="s">
        <v>145</v>
      </c>
      <c r="D66" s="113"/>
      <c r="E66" s="114"/>
    </row>
    <row r="67" spans="1:5" ht="18" customHeight="1" x14ac:dyDescent="0.25">
      <c r="A67" s="34"/>
      <c r="B67" s="33" t="s">
        <v>141</v>
      </c>
      <c r="C67" s="112" t="s">
        <v>146</v>
      </c>
      <c r="D67" s="113"/>
      <c r="E67" s="114"/>
    </row>
    <row r="68" spans="1:5" ht="16.5" thickBot="1" x14ac:dyDescent="0.3">
      <c r="B68" s="37" t="s">
        <v>130</v>
      </c>
      <c r="C68" s="115" t="s">
        <v>147</v>
      </c>
      <c r="D68" s="116"/>
      <c r="E68" s="117"/>
    </row>
    <row r="69" spans="1:5" x14ac:dyDescent="0.25">
      <c r="B69" s="11"/>
    </row>
  </sheetData>
  <mergeCells count="19">
    <mergeCell ref="G53:H53"/>
    <mergeCell ref="C36:D36"/>
    <mergeCell ref="C31:D31"/>
    <mergeCell ref="C32:D32"/>
    <mergeCell ref="C33:D33"/>
    <mergeCell ref="C34:D34"/>
    <mergeCell ref="C35:D35"/>
    <mergeCell ref="B47:B49"/>
    <mergeCell ref="C42:D42"/>
    <mergeCell ref="C43:D43"/>
    <mergeCell ref="C44:D44"/>
    <mergeCell ref="C45:D45"/>
    <mergeCell ref="C46:D46"/>
    <mergeCell ref="C47:D49"/>
    <mergeCell ref="C64:E64"/>
    <mergeCell ref="C65:E65"/>
    <mergeCell ref="C66:E66"/>
    <mergeCell ref="C67:E67"/>
    <mergeCell ref="C68:E68"/>
  </mergeCells>
  <phoneticPr fontId="9" type="noConversion"/>
  <dataValidations count="1">
    <dataValidation type="list" allowBlank="1" showInputMessage="1" showErrorMessage="1" sqref="D56:D58" xr:uid="{848F6D93-CCC5-4550-9B5D-B9A2AB0F44E0}">
      <formula1>"User,Root"</formula1>
    </dataValidation>
  </dataValidations>
  <hyperlinks>
    <hyperlink ref="C35" r:id="rId1" xr:uid="{AC516C62-C456-42A9-8DF2-7A9F3F9A1F9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8</vt:i4>
      </vt:variant>
    </vt:vector>
  </HeadingPairs>
  <TitlesOfParts>
    <vt:vector size="9" baseType="lpstr">
      <vt:lpstr>Login</vt:lpstr>
      <vt:lpstr>articles</vt:lpstr>
      <vt:lpstr>categories</vt:lpstr>
      <vt:lpstr>Paramètres!Criteres</vt:lpstr>
      <vt:lpstr>Paramètres!Extraire</vt:lpstr>
      <vt:lpstr>'Bilan Annuel'!Zone_d_impression</vt:lpstr>
      <vt:lpstr>'Bons de Com.'!Zone_d_impression</vt:lpstr>
      <vt:lpstr>'Ventes Jour.'!Zone_d_impression</vt:lpstr>
      <vt:lpstr>'Ventes Mens.'!Zone_d_impression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26134</dc:creator>
  <cp:lastModifiedBy>Shirley Odon TAFITA</cp:lastModifiedBy>
  <cp:lastPrinted>2023-12-02T08:40:50Z</cp:lastPrinted>
  <dcterms:created xsi:type="dcterms:W3CDTF">2022-11-05T14:32:03Z</dcterms:created>
  <dcterms:modified xsi:type="dcterms:W3CDTF">2023-12-02T08:52:52Z</dcterms:modified>
</cp:coreProperties>
</file>